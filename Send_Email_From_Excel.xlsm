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Finam\Downloads\Eurobonds_Ticket_RM4928\"/>
    </mc:Choice>
  </mc:AlternateContent>
  <xr:revisionPtr revIDLastSave="0" documentId="13_ncr:1_{3CC88E1B-1256-4DB2-8E91-1FD84AEF1CD5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Портфель DVP" sheetId="5" state="hidden" r:id="rId1"/>
    <sheet name="Ticket" sheetId="7" r:id="rId2"/>
  </sheets>
  <definedNames>
    <definedName name="_xlnm._FilterDatabase" localSheetId="1" hidden="1">Ticket!$C$4:$J$4</definedName>
    <definedName name="portf">#REF!</definedName>
    <definedName name="solver_adj" localSheetId="1" hidden="1">Ticket!$E$5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Ticket!$J$3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</definedName>
    <definedName name="solver_ver" localSheetId="1" hidden="1">3</definedName>
    <definedName name="Тип_портфеля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7" l="1"/>
  <c r="A7" i="7"/>
  <c r="A6" i="7"/>
  <c r="A5" i="7"/>
</calcChain>
</file>

<file path=xl/sharedStrings.xml><?xml version="1.0" encoding="utf-8"?>
<sst xmlns="http://schemas.openxmlformats.org/spreadsheetml/2006/main" count="54" uniqueCount="41">
  <si>
    <t>Инструмент</t>
  </si>
  <si>
    <t>Место</t>
  </si>
  <si>
    <t>Состояние</t>
  </si>
  <si>
    <t>Валюта</t>
  </si>
  <si>
    <t>Количество</t>
  </si>
  <si>
    <t>Цена</t>
  </si>
  <si>
    <t>Закрыть</t>
  </si>
  <si>
    <t>ClosedLots</t>
  </si>
  <si>
    <t>Рубль</t>
  </si>
  <si>
    <t>Счета фирмы</t>
  </si>
  <si>
    <t>Свободно</t>
  </si>
  <si>
    <t>RUR</t>
  </si>
  <si>
    <t>Внебиржа DVP</t>
  </si>
  <si>
    <t>Ожидания по сделкам РЕПО</t>
  </si>
  <si>
    <t>Доллар США</t>
  </si>
  <si>
    <t>USD</t>
  </si>
  <si>
    <t>Дисконт</t>
  </si>
  <si>
    <t>Цена(руб)</t>
  </si>
  <si>
    <t>Оценка(ПозаГО)</t>
  </si>
  <si>
    <t>VTB Eurasia DAC, Обл, XS0810596832</t>
  </si>
  <si>
    <t xml:space="preserve">Recipients:   </t>
  </si>
  <si>
    <t>and</t>
  </si>
  <si>
    <t>Test1</t>
  </si>
  <si>
    <t>Test2</t>
  </si>
  <si>
    <t>Test3</t>
  </si>
  <si>
    <t>ordered</t>
  </si>
  <si>
    <t>Example of a table to send via email</t>
  </si>
  <si>
    <t>set1</t>
  </si>
  <si>
    <t>set2</t>
  </si>
  <si>
    <t>set3</t>
  </si>
  <si>
    <t>set4</t>
  </si>
  <si>
    <t>set5</t>
  </si>
  <si>
    <t>set6</t>
  </si>
  <si>
    <t>set7</t>
  </si>
  <si>
    <t>set8</t>
  </si>
  <si>
    <t>Source:</t>
  </si>
  <si>
    <t>http://risksir.com</t>
  </si>
  <si>
    <t>Description:</t>
  </si>
  <si>
    <t>email1@mysite.com</t>
  </si>
  <si>
    <t>email2@mysite.com</t>
  </si>
  <si>
    <t>This is an example of a script to send a Sheet via email from Excel workbook (launched Outlook is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</si>
</sst>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</font>
    <font>
      <sz val="11"/>
      <color rgb="FFFF0000"/>
      <name val="Calibri"/>
      <family val="2"/>
      <scheme val="minor"/>
    </font>
    <font>
      <i/>
      <sz val="8"/>
      <color theme="1"/>
      <name val="Calibri"/>
      <family val="2"/>
      <charset val="204"/>
      <scheme val="minor"/>
    </font>
    <font>
      <i/>
      <sz val="11"/>
      <color theme="0" tint="-0.499984740745262"/>
      <name val="Calibri"/>
      <family val="2"/>
      <charset val="204"/>
      <scheme val="minor"/>
    </font>
    <font>
      <i/>
      <sz val="11"/>
      <color rgb="FF000000"/>
      <name val="Calibri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charset val="204"/>
    </font>
    <font>
      <sz val="8"/>
      <color theme="1" tint="0.34998626667073579"/>
      <name val="Calibri"/>
      <family val="2"/>
      <scheme val="minor"/>
    </font>
    <font>
      <sz val="11"/>
      <name val="Calibri"/>
      <family val="2"/>
      <charset val="204"/>
    </font>
    <font>
      <sz val="8"/>
      <name val="Calibri"/>
      <family val="2"/>
      <scheme val="minor"/>
    </font>
    <font>
      <u/>
      <sz val="11"/>
      <color theme="1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A7A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" fillId="0" borderId="0"/>
    <xf numFmtId="44" fontId="5" fillId="0" borderId="0" applyFon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</cellStyleXfs>
  <cellXfs count="72">
    <xf numFmtId="0" fontId="0" fillId="0" borderId="0" xfId="0"/>
    <xf numFmtId="0" fontId="6" fillId="3" borderId="4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6" fillId="0" borderId="9" xfId="0" applyFont="1" applyBorder="1" applyAlignment="1">
      <alignment vertical="center" wrapText="1"/>
    </xf>
    <xf numFmtId="0" fontId="6" fillId="3" borderId="17" xfId="0" applyFont="1" applyFill="1" applyBorder="1" applyAlignment="1">
      <alignment horizontal="right" vertical="center" wrapText="1"/>
    </xf>
    <xf numFmtId="0" fontId="6" fillId="3" borderId="18" xfId="0" applyFont="1" applyFill="1" applyBorder="1" applyAlignment="1">
      <alignment vertical="center" wrapText="1"/>
    </xf>
    <xf numFmtId="0" fontId="8" fillId="3" borderId="17" xfId="0" applyFont="1" applyFill="1" applyBorder="1" applyAlignment="1">
      <alignment horizontal="right" vertical="center" wrapText="1"/>
    </xf>
    <xf numFmtId="0" fontId="6" fillId="3" borderId="10" xfId="0" applyFont="1" applyFill="1" applyBorder="1" applyAlignment="1">
      <alignment vertical="center" wrapText="1"/>
    </xf>
    <xf numFmtId="0" fontId="6" fillId="3" borderId="11" xfId="0" applyFont="1" applyFill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10" fontId="6" fillId="3" borderId="17" xfId="2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21" xfId="0" applyFont="1" applyBorder="1" applyAlignment="1">
      <alignment vertical="center" wrapText="1"/>
    </xf>
    <xf numFmtId="0" fontId="6" fillId="3" borderId="22" xfId="0" applyFont="1" applyFill="1" applyBorder="1" applyAlignment="1">
      <alignment horizontal="right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0" fillId="4" borderId="16" xfId="0" applyFill="1" applyBorder="1"/>
    <xf numFmtId="0" fontId="0" fillId="4" borderId="1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3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15" fillId="4" borderId="25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23" xfId="0" applyFill="1" applyBorder="1" applyAlignment="1">
      <alignment horizontal="right" vertical="center"/>
    </xf>
    <xf numFmtId="164" fontId="0" fillId="0" borderId="0" xfId="1" applyFont="1"/>
    <xf numFmtId="0" fontId="0" fillId="0" borderId="0" xfId="0"/>
    <xf numFmtId="0" fontId="4" fillId="2" borderId="0" xfId="0" applyFont="1" applyFill="1"/>
    <xf numFmtId="0" fontId="0" fillId="0" borderId="0" xfId="0"/>
    <xf numFmtId="0" fontId="0" fillId="0" borderId="0" xfId="0"/>
    <xf numFmtId="0" fontId="7" fillId="3" borderId="29" xfId="0" applyFont="1" applyFill="1" applyBorder="1" applyAlignment="1">
      <alignment horizontal="center" vertical="center" wrapText="1"/>
    </xf>
    <xf numFmtId="0" fontId="16" fillId="3" borderId="27" xfId="0" applyFont="1" applyFill="1" applyBorder="1" applyAlignment="1">
      <alignment horizontal="center" vertical="center" wrapText="1"/>
    </xf>
    <xf numFmtId="49" fontId="16" fillId="5" borderId="31" xfId="0" applyNumberFormat="1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9" fontId="16" fillId="5" borderId="30" xfId="0" applyNumberFormat="1" applyFont="1" applyFill="1" applyBorder="1" applyAlignment="1">
      <alignment horizontal="center" vertical="center" wrapText="1"/>
    </xf>
    <xf numFmtId="0" fontId="16" fillId="5" borderId="3" xfId="0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horizontal="center" vertical="center" wrapText="1"/>
    </xf>
    <xf numFmtId="9" fontId="16" fillId="5" borderId="1" xfId="0" applyNumberFormat="1" applyFont="1" applyFill="1" applyBorder="1" applyAlignment="1">
      <alignment horizontal="center" vertical="center" wrapText="1"/>
    </xf>
    <xf numFmtId="0" fontId="0" fillId="0" borderId="0" xfId="0"/>
    <xf numFmtId="3" fontId="16" fillId="5" borderId="30" xfId="0" applyNumberFormat="1" applyFont="1" applyFill="1" applyBorder="1" applyAlignment="1">
      <alignment horizontal="center" vertical="center" wrapText="1"/>
    </xf>
    <xf numFmtId="49" fontId="16" fillId="5" borderId="32" xfId="0" applyNumberFormat="1" applyFont="1" applyFill="1" applyBorder="1" applyAlignment="1">
      <alignment horizontal="center" vertical="center" wrapText="1"/>
    </xf>
    <xf numFmtId="0" fontId="16" fillId="5" borderId="33" xfId="0" applyFont="1" applyFill="1" applyBorder="1" applyAlignment="1">
      <alignment horizontal="center" vertical="center" wrapText="1"/>
    </xf>
    <xf numFmtId="0" fontId="16" fillId="5" borderId="34" xfId="0" applyFont="1" applyFill="1" applyBorder="1" applyAlignment="1">
      <alignment horizontal="center" vertical="center" wrapText="1"/>
    </xf>
    <xf numFmtId="9" fontId="16" fillId="5" borderId="34" xfId="0" applyNumberFormat="1" applyFont="1" applyFill="1" applyBorder="1" applyAlignment="1">
      <alignment horizontal="center" vertical="center" wrapText="1"/>
    </xf>
    <xf numFmtId="9" fontId="16" fillId="5" borderId="33" xfId="0" applyNumberFormat="1" applyFont="1" applyFill="1" applyBorder="1" applyAlignment="1">
      <alignment horizontal="center" vertical="center" wrapText="1"/>
    </xf>
    <xf numFmtId="0" fontId="16" fillId="5" borderId="2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2" fillId="0" borderId="0" xfId="6"/>
    <xf numFmtId="0" fontId="18" fillId="0" borderId="0" xfId="7"/>
    <xf numFmtId="0" fontId="14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0" fontId="2" fillId="0" borderId="0" xfId="6" applyAlignment="1">
      <alignment horizontal="left"/>
    </xf>
    <xf numFmtId="0" fontId="6" fillId="3" borderId="7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13" fillId="0" borderId="19" xfId="3" applyBorder="1" applyAlignment="1">
      <alignment horizontal="center" vertical="center"/>
    </xf>
    <xf numFmtId="0" fontId="13" fillId="0" borderId="26" xfId="3" applyBorder="1" applyAlignment="1">
      <alignment horizontal="center" vertical="center"/>
    </xf>
    <xf numFmtId="0" fontId="13" fillId="0" borderId="20" xfId="3" applyBorder="1" applyAlignment="1">
      <alignment horizontal="center" vertical="center"/>
    </xf>
    <xf numFmtId="0" fontId="13" fillId="5" borderId="19" xfId="3" applyFill="1" applyBorder="1" applyAlignment="1">
      <alignment horizontal="center" vertical="center"/>
    </xf>
    <xf numFmtId="0" fontId="13" fillId="5" borderId="20" xfId="3" applyFill="1" applyBorder="1" applyAlignment="1">
      <alignment horizontal="center" vertical="center"/>
    </xf>
    <xf numFmtId="0" fontId="6" fillId="3" borderId="5" xfId="0" applyFont="1" applyFill="1" applyBorder="1" applyAlignment="1">
      <alignment vertical="center" wrapText="1"/>
    </xf>
    <xf numFmtId="0" fontId="6" fillId="3" borderId="6" xfId="0" applyFont="1" applyFill="1" applyBorder="1" applyAlignment="1">
      <alignment vertical="center" wrapText="1"/>
    </xf>
    <xf numFmtId="0" fontId="6" fillId="3" borderId="28" xfId="0" applyFont="1" applyFill="1" applyBorder="1" applyAlignment="1">
      <alignment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" fillId="0" borderId="0" xfId="6" applyFont="1" applyAlignment="1">
      <alignment horizontal="left"/>
    </xf>
  </cellXfs>
  <cellStyles count="8">
    <cellStyle name="Comma" xfId="1" builtinId="3"/>
    <cellStyle name="Hyperlink" xfId="3" builtinId="8"/>
    <cellStyle name="Hyperlink 2" xfId="7" xr:uid="{9C1B18BC-4005-463C-BC49-7DB24A489032}"/>
    <cellStyle name="Normal" xfId="0" builtinId="0"/>
    <cellStyle name="Normal 2" xfId="6" xr:uid="{255D514A-31FC-4F1C-849A-24C04977C2AD}"/>
    <cellStyle name="Percent" xfId="2" builtinId="5"/>
    <cellStyle name="Денежный 2" xfId="5" xr:uid="{00000000-0005-0000-0000-000002000000}"/>
    <cellStyle name="Обычный 2" xfId="4" xr:uid="{00000000-0005-0000-0000-000004000000}"/>
  </cellStyles>
  <dxfs count="4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FFFFCC"/>
      <color rgb="FFFFABBB"/>
      <color rgb="FF97FFC6"/>
      <color rgb="FF81F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C$10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9</xdr:row>
          <xdr:rowOff>28575</xdr:rowOff>
        </xdr:from>
        <xdr:to>
          <xdr:col>3</xdr:col>
          <xdr:colOff>9525</xdr:colOff>
          <xdr:row>9</xdr:row>
          <xdr:rowOff>152400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10</xdr:row>
          <xdr:rowOff>19050</xdr:rowOff>
        </xdr:from>
        <xdr:to>
          <xdr:col>2</xdr:col>
          <xdr:colOff>981075</xdr:colOff>
          <xdr:row>10</xdr:row>
          <xdr:rowOff>152400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14</xdr:row>
          <xdr:rowOff>85725</xdr:rowOff>
        </xdr:from>
        <xdr:to>
          <xdr:col>8</xdr:col>
          <xdr:colOff>9525</xdr:colOff>
          <xdr:row>16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email2@mysite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risksir.com/" TargetMode="External"/><Relationship Id="rId1" Type="http://schemas.openxmlformats.org/officeDocument/2006/relationships/hyperlink" Target="mailto:email1@mysite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K6"/>
  <sheetViews>
    <sheetView workbookViewId="0">
      <selection activeCell="G10" sqref="G10"/>
    </sheetView>
  </sheetViews>
  <sheetFormatPr defaultRowHeight="15" x14ac:dyDescent="0.25"/>
  <cols>
    <col min="1" max="1" width="26.42578125" style="31" customWidth="1"/>
    <col min="2" max="2" width="14.28515625" style="31" customWidth="1"/>
    <col min="3" max="3" width="20.7109375" style="31" customWidth="1"/>
    <col min="4" max="4" width="12.140625" style="31" customWidth="1"/>
    <col min="5" max="5" width="15.7109375" style="31" customWidth="1"/>
    <col min="6" max="7" width="13.5703125" style="31" customWidth="1"/>
    <col min="8" max="8" width="12.85546875" style="31" customWidth="1"/>
    <col min="9" max="9" width="15.7109375" style="31" customWidth="1"/>
    <col min="10" max="10" width="13.5703125" style="31" customWidth="1"/>
    <col min="11" max="11" width="10.7109375" style="31" customWidth="1"/>
    <col min="12" max="16384" width="9.140625" style="31"/>
  </cols>
  <sheetData>
    <row r="1" spans="1:11" x14ac:dyDescent="0.25">
      <c r="A1" s="32" t="s">
        <v>0</v>
      </c>
      <c r="B1" s="32" t="s">
        <v>1</v>
      </c>
      <c r="C1" s="32" t="s">
        <v>2</v>
      </c>
      <c r="D1" s="32" t="s">
        <v>16</v>
      </c>
      <c r="E1" s="32" t="s">
        <v>4</v>
      </c>
      <c r="F1" s="32" t="s">
        <v>17</v>
      </c>
      <c r="G1" s="32" t="s">
        <v>5</v>
      </c>
      <c r="H1" s="32" t="s">
        <v>3</v>
      </c>
      <c r="I1" s="32" t="s">
        <v>18</v>
      </c>
      <c r="J1" s="32" t="s">
        <v>6</v>
      </c>
      <c r="K1" s="32" t="s">
        <v>7</v>
      </c>
    </row>
    <row r="2" spans="1:11" x14ac:dyDescent="0.25">
      <c r="A2" s="31" t="s">
        <v>8</v>
      </c>
      <c r="B2" s="31" t="s">
        <v>9</v>
      </c>
      <c r="C2" s="31" t="s">
        <v>10</v>
      </c>
      <c r="D2" s="31">
        <v>1</v>
      </c>
      <c r="E2" s="31">
        <v>-32058.560000000001</v>
      </c>
      <c r="F2" s="31">
        <v>1</v>
      </c>
      <c r="G2" s="31">
        <v>1</v>
      </c>
      <c r="H2" s="31" t="s">
        <v>11</v>
      </c>
      <c r="I2" s="31">
        <v>-32058.560000000001</v>
      </c>
      <c r="J2" s="31">
        <v>1</v>
      </c>
      <c r="K2" s="31">
        <v>0</v>
      </c>
    </row>
    <row r="3" spans="1:11" x14ac:dyDescent="0.25">
      <c r="A3" s="31" t="s">
        <v>19</v>
      </c>
      <c r="B3" s="31" t="s">
        <v>12</v>
      </c>
      <c r="C3" s="31" t="s">
        <v>10</v>
      </c>
      <c r="D3" s="31">
        <v>0.35</v>
      </c>
      <c r="E3" s="31">
        <v>40</v>
      </c>
      <c r="F3" s="31">
        <v>64478.372100000001</v>
      </c>
      <c r="G3" s="31">
        <v>1037.1300000000001</v>
      </c>
      <c r="H3" s="31" t="s">
        <v>15</v>
      </c>
      <c r="I3" s="31">
        <v>2693975.3080000002</v>
      </c>
      <c r="J3" s="31">
        <v>200</v>
      </c>
      <c r="K3" s="31">
        <v>0</v>
      </c>
    </row>
    <row r="4" spans="1:11" x14ac:dyDescent="0.25">
      <c r="A4" s="31" t="s">
        <v>19</v>
      </c>
      <c r="B4" s="31" t="s">
        <v>12</v>
      </c>
      <c r="C4" s="31" t="s">
        <v>13</v>
      </c>
      <c r="D4" s="31">
        <v>0.35</v>
      </c>
      <c r="E4" s="31">
        <v>260</v>
      </c>
      <c r="F4" s="31">
        <v>64478.372100000001</v>
      </c>
      <c r="G4" s="31">
        <v>1037.1300000000001</v>
      </c>
      <c r="H4" s="31" t="s">
        <v>15</v>
      </c>
      <c r="I4" s="31">
        <v>17510839.502</v>
      </c>
      <c r="J4" s="31">
        <v>200</v>
      </c>
      <c r="K4" s="31">
        <v>0</v>
      </c>
    </row>
    <row r="5" spans="1:11" x14ac:dyDescent="0.25">
      <c r="A5" s="31" t="s">
        <v>14</v>
      </c>
      <c r="B5" s="31" t="s">
        <v>9</v>
      </c>
      <c r="C5" s="31" t="s">
        <v>10</v>
      </c>
      <c r="D5" s="31">
        <v>1</v>
      </c>
      <c r="E5" s="31">
        <v>532.23</v>
      </c>
      <c r="F5" s="31">
        <v>62.17</v>
      </c>
      <c r="G5" s="31">
        <v>62.17</v>
      </c>
      <c r="H5" s="31" t="s">
        <v>11</v>
      </c>
      <c r="I5" s="31">
        <v>33088.739099999999</v>
      </c>
      <c r="J5" s="31">
        <v>1</v>
      </c>
      <c r="K5" s="31">
        <v>0</v>
      </c>
    </row>
    <row r="6" spans="1:11" x14ac:dyDescent="0.25">
      <c r="A6" s="31" t="s">
        <v>14</v>
      </c>
      <c r="B6" s="31" t="s">
        <v>9</v>
      </c>
      <c r="C6" s="31" t="s">
        <v>13</v>
      </c>
      <c r="D6" s="31">
        <v>1</v>
      </c>
      <c r="E6" s="31">
        <v>-192006.16</v>
      </c>
      <c r="F6" s="31">
        <v>62.17</v>
      </c>
      <c r="G6" s="31">
        <v>62.17</v>
      </c>
      <c r="H6" s="31" t="s">
        <v>11</v>
      </c>
      <c r="I6" s="31">
        <v>-11937022.9672</v>
      </c>
      <c r="J6" s="31">
        <v>1</v>
      </c>
      <c r="K6" s="3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tabColor rgb="FFFFC000"/>
  </sheetPr>
  <dimension ref="A1:Q25"/>
  <sheetViews>
    <sheetView tabSelected="1" workbookViewId="0">
      <selection activeCell="B2" sqref="B2:H2"/>
    </sheetView>
  </sheetViews>
  <sheetFormatPr defaultRowHeight="15" x14ac:dyDescent="0.25"/>
  <cols>
    <col min="1" max="1" width="13.5703125" style="17" customWidth="1"/>
    <col min="2" max="2" width="18.42578125" customWidth="1"/>
    <col min="3" max="3" width="15.140625" customWidth="1"/>
    <col min="4" max="4" width="25" customWidth="1"/>
    <col min="5" max="5" width="11.5703125" customWidth="1"/>
    <col min="6" max="6" width="12.140625" customWidth="1"/>
    <col min="7" max="7" width="12.140625" style="2" customWidth="1"/>
    <col min="8" max="8" width="13.85546875" customWidth="1"/>
    <col min="9" max="9" width="16.28515625" customWidth="1"/>
    <col min="10" max="10" width="13.42578125" customWidth="1"/>
    <col min="11" max="11" width="10.42578125" customWidth="1"/>
    <col min="12" max="12" width="10.42578125" style="10" customWidth="1"/>
    <col min="13" max="16" width="10.42578125" customWidth="1"/>
  </cols>
  <sheetData>
    <row r="1" spans="1:17" x14ac:dyDescent="0.25">
      <c r="A1" s="52" t="s">
        <v>35</v>
      </c>
      <c r="B1" s="53" t="s">
        <v>36</v>
      </c>
      <c r="C1" s="52"/>
      <c r="D1" s="52"/>
      <c r="E1" s="52"/>
      <c r="F1" s="52"/>
      <c r="G1" s="52"/>
      <c r="H1" s="52"/>
      <c r="I1" s="52"/>
    </row>
    <row r="2" spans="1:17" ht="15.75" customHeight="1" x14ac:dyDescent="0.25">
      <c r="A2" s="52" t="s">
        <v>37</v>
      </c>
      <c r="B2" s="71" t="s">
        <v>40</v>
      </c>
      <c r="C2" s="56"/>
      <c r="D2" s="56"/>
      <c r="E2" s="56"/>
      <c r="F2" s="56"/>
      <c r="G2" s="56"/>
      <c r="H2" s="56"/>
      <c r="I2" s="52"/>
      <c r="J2" s="43"/>
      <c r="K2" s="43"/>
      <c r="L2" s="43"/>
      <c r="M2" s="43"/>
      <c r="N2" s="43"/>
      <c r="O2" s="43"/>
      <c r="P2" s="43"/>
      <c r="Q2" s="43"/>
    </row>
    <row r="3" spans="1:17" ht="33.75" customHeight="1" thickBot="1" x14ac:dyDescent="0.3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</row>
    <row r="4" spans="1:17" ht="47.25" customHeight="1" thickBot="1" x14ac:dyDescent="0.3">
      <c r="A4" s="54"/>
      <c r="B4" s="57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 t="s">
        <v>31</v>
      </c>
      <c r="H4" s="1" t="s">
        <v>32</v>
      </c>
      <c r="I4" s="1" t="s">
        <v>33</v>
      </c>
      <c r="J4" s="1" t="s">
        <v>34</v>
      </c>
      <c r="K4" s="30"/>
    </row>
    <row r="5" spans="1:17" x14ac:dyDescent="0.25">
      <c r="A5" s="55" t="str">
        <f>IF(AND(D5&lt;&gt;"",E5&lt;&gt;0),"  ("&amp;1&amp;")","")</f>
        <v xml:space="preserve">  (1)</v>
      </c>
      <c r="B5" s="58"/>
      <c r="C5" s="37" t="s">
        <v>22</v>
      </c>
      <c r="D5" s="44">
        <v>23546</v>
      </c>
      <c r="E5" s="38" t="s">
        <v>25</v>
      </c>
      <c r="F5" s="39"/>
      <c r="G5" s="39"/>
      <c r="H5" s="38"/>
      <c r="I5" s="40"/>
      <c r="J5" s="35"/>
      <c r="K5" s="12"/>
      <c r="M5" s="13"/>
    </row>
    <row r="6" spans="1:17" x14ac:dyDescent="0.25">
      <c r="A6" s="55" t="str">
        <f>IF(AND(D6&lt;&gt;"",E6&lt;&gt;0),"  ("&amp;2&amp;")","")</f>
        <v xml:space="preserve">  (2)</v>
      </c>
      <c r="B6" s="58"/>
      <c r="C6" s="37" t="s">
        <v>23</v>
      </c>
      <c r="D6" s="38">
        <v>645</v>
      </c>
      <c r="E6" s="41" t="s">
        <v>25</v>
      </c>
      <c r="F6" s="42"/>
      <c r="G6" s="39"/>
      <c r="H6" s="38"/>
      <c r="I6" s="40"/>
      <c r="J6" s="35"/>
      <c r="K6" s="12"/>
      <c r="M6" s="13"/>
    </row>
    <row r="7" spans="1:17" ht="15.75" customHeight="1" x14ac:dyDescent="0.25">
      <c r="A7" s="55" t="str">
        <f>IF(AND(D7&lt;&gt;"",E7&lt;&gt;0),"  ("&amp;3&amp;")","")</f>
        <v xml:space="preserve">  (3)</v>
      </c>
      <c r="B7" s="58"/>
      <c r="C7" s="37" t="s">
        <v>24</v>
      </c>
      <c r="D7" s="38">
        <v>564654</v>
      </c>
      <c r="E7" s="41" t="s">
        <v>25</v>
      </c>
      <c r="F7" s="42"/>
      <c r="G7" s="39"/>
      <c r="H7" s="38"/>
      <c r="I7" s="40"/>
      <c r="J7" s="35"/>
      <c r="K7" s="12"/>
      <c r="M7" s="13"/>
    </row>
    <row r="8" spans="1:17" ht="15.75" thickBot="1" x14ac:dyDescent="0.3">
      <c r="A8" s="55" t="str">
        <f>IF(AND(D8&lt;&gt;"",E8&lt;&gt;0),"  ("&amp;4&amp;")","")</f>
        <v/>
      </c>
      <c r="B8" s="58"/>
      <c r="C8" s="45"/>
      <c r="D8" s="46"/>
      <c r="E8" s="47"/>
      <c r="F8" s="48"/>
      <c r="G8" s="49"/>
      <c r="H8" s="46"/>
      <c r="I8" s="50"/>
      <c r="J8" s="51"/>
      <c r="K8" s="12"/>
      <c r="M8" s="13"/>
    </row>
    <row r="9" spans="1:17" ht="21.75" customHeight="1" thickBot="1" x14ac:dyDescent="0.3">
      <c r="A9" s="55"/>
      <c r="B9" s="1"/>
      <c r="C9" s="64"/>
      <c r="D9" s="65"/>
      <c r="E9" s="65"/>
      <c r="F9" s="65"/>
      <c r="G9" s="65"/>
      <c r="H9" s="65"/>
      <c r="I9" s="65"/>
      <c r="J9" s="66"/>
    </row>
    <row r="10" spans="1:17" ht="15.75" thickBot="1" x14ac:dyDescent="0.3">
      <c r="A10" s="55"/>
      <c r="B10" s="67"/>
      <c r="C10" s="69">
        <v>1</v>
      </c>
      <c r="D10" s="14"/>
      <c r="E10" s="5"/>
      <c r="F10" s="36"/>
      <c r="G10" s="5"/>
      <c r="H10" s="11"/>
      <c r="I10" s="7"/>
      <c r="J10" s="6"/>
    </row>
    <row r="11" spans="1:17" ht="15.75" thickBot="1" x14ac:dyDescent="0.3">
      <c r="A11" s="55"/>
      <c r="B11" s="68"/>
      <c r="C11" s="70"/>
      <c r="D11" s="4"/>
      <c r="E11" s="15"/>
      <c r="F11" s="16"/>
      <c r="G11" s="8"/>
      <c r="H11" s="8"/>
      <c r="I11" s="8"/>
      <c r="J11" s="9"/>
    </row>
    <row r="12" spans="1:17" ht="13.5" customHeight="1" x14ac:dyDescent="0.25">
      <c r="A12" s="55"/>
      <c r="B12" s="18"/>
      <c r="C12" s="19"/>
      <c r="D12" s="19"/>
      <c r="E12" s="19"/>
      <c r="F12" s="19"/>
      <c r="G12" s="19"/>
      <c r="H12" s="19"/>
      <c r="I12" s="19"/>
      <c r="J12" s="20"/>
    </row>
    <row r="13" spans="1:17" ht="13.5" customHeight="1" x14ac:dyDescent="0.25">
      <c r="A13" s="55"/>
      <c r="B13" s="22"/>
      <c r="C13" s="23"/>
      <c r="D13" s="23"/>
      <c r="E13" s="23"/>
      <c r="F13" s="23"/>
      <c r="G13" s="23"/>
      <c r="H13" s="23"/>
      <c r="I13" s="23"/>
      <c r="J13" s="21"/>
      <c r="K13" s="3"/>
    </row>
    <row r="14" spans="1:17" ht="22.5" customHeight="1" x14ac:dyDescent="0.25">
      <c r="A14" s="55"/>
      <c r="B14" s="29" t="s">
        <v>20</v>
      </c>
      <c r="C14" s="62" t="s">
        <v>38</v>
      </c>
      <c r="D14" s="63"/>
      <c r="E14" s="28" t="s">
        <v>21</v>
      </c>
      <c r="F14" s="59" t="s">
        <v>39</v>
      </c>
      <c r="G14" s="60"/>
      <c r="H14" s="61"/>
      <c r="I14" s="23"/>
      <c r="J14" s="27"/>
      <c r="K14" s="3"/>
    </row>
    <row r="15" spans="1:17" x14ac:dyDescent="0.25">
      <c r="A15" s="55"/>
      <c r="B15" s="22"/>
      <c r="C15" s="23"/>
      <c r="D15" s="23"/>
      <c r="E15" s="23"/>
      <c r="F15" s="23"/>
      <c r="G15" s="23"/>
      <c r="H15" s="23"/>
      <c r="I15" s="23"/>
      <c r="J15" s="21"/>
      <c r="K15" s="3"/>
    </row>
    <row r="16" spans="1:17" x14ac:dyDescent="0.25">
      <c r="A16" s="55"/>
      <c r="B16" s="22"/>
      <c r="C16" s="23"/>
      <c r="D16" s="23"/>
      <c r="E16" s="23"/>
      <c r="F16" s="23"/>
      <c r="G16" s="23"/>
      <c r="H16" s="23"/>
      <c r="I16" s="23"/>
      <c r="J16" s="21"/>
      <c r="K16" s="3"/>
    </row>
    <row r="17" spans="1:11" ht="18.75" customHeight="1" thickBot="1" x14ac:dyDescent="0.3">
      <c r="A17" s="55"/>
      <c r="B17" s="24"/>
      <c r="C17" s="25"/>
      <c r="D17" s="25"/>
      <c r="E17" s="25"/>
      <c r="F17" s="25"/>
      <c r="G17" s="25"/>
      <c r="H17" s="25"/>
      <c r="I17" s="25"/>
      <c r="J17" s="26"/>
      <c r="K17" s="3"/>
    </row>
    <row r="18" spans="1:11" x14ac:dyDescent="0.25">
      <c r="A18" s="55"/>
      <c r="K18" s="3"/>
    </row>
    <row r="19" spans="1:11" x14ac:dyDescent="0.25">
      <c r="A19" s="55"/>
      <c r="K19" s="3"/>
    </row>
    <row r="20" spans="1:11" x14ac:dyDescent="0.25">
      <c r="A20" s="55"/>
      <c r="C20" s="34"/>
      <c r="D20" s="34"/>
      <c r="E20" s="34"/>
      <c r="F20" s="34"/>
      <c r="G20" s="34"/>
      <c r="H20" s="34"/>
      <c r="I20" s="34"/>
    </row>
    <row r="21" spans="1:11" x14ac:dyDescent="0.25">
      <c r="A21" s="55"/>
      <c r="C21" s="34"/>
      <c r="D21" s="34"/>
      <c r="E21" s="34"/>
      <c r="F21" s="34"/>
      <c r="G21" s="34"/>
      <c r="H21" s="34"/>
      <c r="I21" s="34"/>
    </row>
    <row r="22" spans="1:11" x14ac:dyDescent="0.25">
      <c r="A22" s="55"/>
      <c r="C22" s="34"/>
      <c r="D22" s="34"/>
      <c r="E22" s="34"/>
      <c r="F22" s="34"/>
      <c r="G22" s="34"/>
      <c r="H22" s="34"/>
      <c r="I22" s="34"/>
    </row>
    <row r="23" spans="1:11" x14ac:dyDescent="0.25">
      <c r="A23" s="55"/>
      <c r="I23" s="33"/>
    </row>
    <row r="24" spans="1:11" x14ac:dyDescent="0.25">
      <c r="A24" s="55"/>
    </row>
    <row r="25" spans="1:11" x14ac:dyDescent="0.25">
      <c r="A25" s="55"/>
    </row>
  </sheetData>
  <mergeCells count="7">
    <mergeCell ref="B2:H2"/>
    <mergeCell ref="B4:B8"/>
    <mergeCell ref="F14:H14"/>
    <mergeCell ref="C14:D14"/>
    <mergeCell ref="C9:J9"/>
    <mergeCell ref="B10:B11"/>
    <mergeCell ref="C10:C11"/>
  </mergeCells>
  <phoneticPr fontId="17" type="noConversion"/>
  <conditionalFormatting sqref="F11">
    <cfRule type="expression" dxfId="3" priority="11">
      <formula>$C$10=2</formula>
    </cfRule>
  </conditionalFormatting>
  <conditionalFormatting sqref="J5:J8">
    <cfRule type="containsText" dxfId="2" priority="10" operator="containsText" text="Д">
      <formula>NOT(ISERROR(SEARCH("Д",J5)))</formula>
    </cfRule>
  </conditionalFormatting>
  <conditionalFormatting sqref="F10">
    <cfRule type="expression" dxfId="1" priority="2">
      <formula>$C$10=1</formula>
    </cfRule>
  </conditionalFormatting>
  <conditionalFormatting sqref="H10">
    <cfRule type="expression" dxfId="0" priority="1">
      <formula>$C$10=1</formula>
    </cfRule>
  </conditionalFormatting>
  <hyperlinks>
    <hyperlink ref="C14" r:id="rId1" xr:uid="{00000000-0004-0000-0300-000000000000}"/>
    <hyperlink ref="B1" r:id="rId2" xr:uid="{869ED72E-595C-4AEA-A24A-53CFDCDEE7B6}"/>
    <hyperlink ref="F14" r:id="rId3" xr:uid="{D657D6D7-9439-4B93-A04D-A3518CA6F8C7}"/>
  </hyperlinks>
  <pageMargins left="0.7" right="0.7" top="0.75" bottom="0.75" header="0.3" footer="0.3"/>
  <pageSetup paperSize="9" orientation="portrait" horizontalDpi="200" verticalDpi="2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SendMail">
                <anchor moveWithCells="1" sizeWithCells="1">
                  <from>
                    <xdr:col>1</xdr:col>
                    <xdr:colOff>1219200</xdr:colOff>
                    <xdr:row>14</xdr:row>
                    <xdr:rowOff>85725</xdr:rowOff>
                  </from>
                  <to>
                    <xdr:col>8</xdr:col>
                    <xdr:colOff>9525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Option Button 9">
              <controlPr defaultSize="0" autoFill="0" autoLine="0" autoPict="0">
                <anchor moveWithCells="1">
                  <from>
                    <xdr:col>2</xdr:col>
                    <xdr:colOff>790575</xdr:colOff>
                    <xdr:row>9</xdr:row>
                    <xdr:rowOff>28575</xdr:rowOff>
                  </from>
                  <to>
                    <xdr:col>3</xdr:col>
                    <xdr:colOff>9525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Option Button 10">
              <controlPr defaultSize="0" autoFill="0" autoLine="0" autoPict="0">
                <anchor moveWithCells="1">
                  <from>
                    <xdr:col>2</xdr:col>
                    <xdr:colOff>790575</xdr:colOff>
                    <xdr:row>10</xdr:row>
                    <xdr:rowOff>19050</xdr:rowOff>
                  </from>
                  <to>
                    <xdr:col>2</xdr:col>
                    <xdr:colOff>981075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Портфель DVP</vt:lpstr>
      <vt:lpstr>Ticket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Kendo UI</dc:creator>
  <cp:lastModifiedBy>Finam</cp:lastModifiedBy>
  <dcterms:created xsi:type="dcterms:W3CDTF">2016-12-22T07:56:19Z</dcterms:created>
  <dcterms:modified xsi:type="dcterms:W3CDTF">2022-09-17T01:47:58Z</dcterms:modified>
</cp:coreProperties>
</file>