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07C7AA1C-75B9-46DE-AB5A-921FC9FDC2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uropean Options BSM in VBA" sheetId="1" r:id="rId1"/>
  </sheets>
  <functionGroups builtInGroupCount="19"/>
  <definedNames>
    <definedName name="BA">'European Options BSM in VBA'!$D$4</definedName>
    <definedName name="BaseAsset">'European Options BSM in VBA'!$D$4</definedName>
    <definedName name="god">'European Options BSM in VBA'!$D$8</definedName>
    <definedName name="riskrate">'European Options BSM in VBA'!$D$9</definedName>
    <definedName name="Strike">'European Options BSM in VBA'!$D$5</definedName>
    <definedName name="T">'European Options BSM in VBA'!$D$10</definedName>
    <definedName name="TT">'European Options BSM in VBA'!$D$7</definedName>
    <definedName name="TTday">'European Options BSM in VBA'!$D$7</definedName>
    <definedName name="Vola">'European Options BSM in VBA'!$D$6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44" i="1" l="1" a="1"/>
  <c r="AD46" i="1" a="1"/>
  <c r="AD48" i="1" a="1"/>
  <c r="AD50" i="1" a="1"/>
  <c r="AD52" i="1" a="1"/>
  <c r="AD54" i="1" a="1"/>
  <c r="AD56" i="1" a="1"/>
  <c r="AD58" i="1" a="1"/>
  <c r="AD60" i="1" a="1"/>
  <c r="AD62" i="1" a="1"/>
  <c r="AD45" i="1" a="1"/>
  <c r="AD47" i="1" a="1"/>
  <c r="AD49" i="1" a="1"/>
  <c r="AD51" i="1" a="1"/>
  <c r="AD53" i="1" a="1"/>
  <c r="AD55" i="1" a="1"/>
  <c r="AD57" i="1" a="1"/>
  <c r="AD59" i="1" a="1"/>
  <c r="AD61" i="1" a="1"/>
  <c r="AD63" i="1" a="1"/>
  <c r="AD43" i="1" a="1"/>
  <c r="AC44" i="1" a="1"/>
  <c r="AC46" i="1" a="1"/>
  <c r="AC48" i="1" a="1"/>
  <c r="AC50" i="1" a="1"/>
  <c r="AC52" i="1" a="1"/>
  <c r="AC54" i="1" a="1"/>
  <c r="AC56" i="1" a="1"/>
  <c r="AC58" i="1" a="1"/>
  <c r="AC60" i="1" a="1"/>
  <c r="AC62" i="1" a="1"/>
  <c r="AC53" i="1" a="1"/>
  <c r="AC45" i="1" a="1"/>
  <c r="AC47" i="1" a="1"/>
  <c r="AC49" i="1" a="1"/>
  <c r="AC51" i="1" a="1"/>
  <c r="AC55" i="1" a="1"/>
  <c r="AC57" i="1" a="1"/>
  <c r="AC59" i="1" a="1"/>
  <c r="AC61" i="1" a="1"/>
  <c r="AC63" i="1" a="1"/>
  <c r="AC43" i="1" a="1"/>
  <c r="AB44" i="1" a="1"/>
  <c r="AB46" i="1" a="1"/>
  <c r="AB48" i="1" a="1"/>
  <c r="AB50" i="1" a="1"/>
  <c r="AB52" i="1" a="1"/>
  <c r="AB54" i="1" a="1"/>
  <c r="AB56" i="1" a="1"/>
  <c r="AB58" i="1" a="1"/>
  <c r="AB60" i="1" a="1"/>
  <c r="AB62" i="1" a="1"/>
  <c r="AB47" i="1" a="1"/>
  <c r="AB49" i="1" a="1"/>
  <c r="AB51" i="1" a="1"/>
  <c r="AB55" i="1" a="1"/>
  <c r="AB59" i="1" a="1"/>
  <c r="AB63" i="1" a="1"/>
  <c r="AB45" i="1" a="1"/>
  <c r="AB53" i="1" a="1"/>
  <c r="AB57" i="1" a="1"/>
  <c r="AB61" i="1" a="1"/>
  <c r="AB43" i="1" a="1"/>
  <c r="AA44" i="1" a="1"/>
  <c r="AA46" i="1" a="1"/>
  <c r="AA48" i="1" a="1"/>
  <c r="AA50" i="1" a="1"/>
  <c r="AA52" i="1" a="1"/>
  <c r="AA54" i="1" a="1"/>
  <c r="AA56" i="1" a="1"/>
  <c r="AA58" i="1" a="1"/>
  <c r="AA60" i="1" a="1"/>
  <c r="AA62" i="1" a="1"/>
  <c r="AA47" i="1" a="1"/>
  <c r="AA49" i="1" a="1"/>
  <c r="AA53" i="1" a="1"/>
  <c r="AA45" i="1" a="1"/>
  <c r="AA51" i="1" a="1"/>
  <c r="AA55" i="1" a="1"/>
  <c r="AA57" i="1" a="1"/>
  <c r="AA59" i="1" a="1"/>
  <c r="AA61" i="1" a="1"/>
  <c r="AA63" i="1" a="1"/>
  <c r="AA43" i="1" a="1"/>
  <c r="Z44" i="1" a="1"/>
  <c r="Z46" i="1" a="1"/>
  <c r="Z48" i="1" a="1"/>
  <c r="Z50" i="1" a="1"/>
  <c r="Z52" i="1" a="1"/>
  <c r="Z54" i="1" a="1"/>
  <c r="Z56" i="1" a="1"/>
  <c r="Z58" i="1" a="1"/>
  <c r="Z60" i="1" a="1"/>
  <c r="Z62" i="1" a="1"/>
  <c r="Z57" i="1" a="1"/>
  <c r="Z45" i="1" a="1"/>
  <c r="Z47" i="1" a="1"/>
  <c r="Z49" i="1" a="1"/>
  <c r="Z51" i="1" a="1"/>
  <c r="Z53" i="1" a="1"/>
  <c r="Z55" i="1" a="1"/>
  <c r="Z59" i="1" a="1"/>
  <c r="Z61" i="1" a="1"/>
  <c r="Z63" i="1" a="1"/>
  <c r="Z43" i="1" a="1"/>
  <c r="Y44" i="1" a="1"/>
  <c r="Y46" i="1" a="1"/>
  <c r="Y48" i="1" a="1"/>
  <c r="Y50" i="1" a="1"/>
  <c r="Y52" i="1" a="1"/>
  <c r="Y54" i="1" a="1"/>
  <c r="Y56" i="1" a="1"/>
  <c r="Y58" i="1" a="1"/>
  <c r="Y60" i="1" a="1"/>
  <c r="Y62" i="1" a="1"/>
  <c r="Y45" i="1" a="1"/>
  <c r="Y47" i="1" a="1"/>
  <c r="Y49" i="1" a="1"/>
  <c r="Y51" i="1" a="1"/>
  <c r="Y53" i="1" a="1"/>
  <c r="Y55" i="1" a="1"/>
  <c r="Y57" i="1" a="1"/>
  <c r="Y59" i="1" a="1"/>
  <c r="Y61" i="1" a="1"/>
  <c r="Y63" i="1" a="1"/>
  <c r="Y43" i="1" a="1"/>
  <c r="T44" i="1" a="1"/>
  <c r="T46" i="1" a="1"/>
  <c r="T48" i="1" a="1"/>
  <c r="T50" i="1" a="1"/>
  <c r="T52" i="1" a="1"/>
  <c r="T54" i="1" a="1"/>
  <c r="T56" i="1" a="1"/>
  <c r="T58" i="1" a="1"/>
  <c r="T60" i="1" a="1"/>
  <c r="T62" i="1" a="1"/>
  <c r="T45" i="1" a="1"/>
  <c r="T49" i="1" a="1"/>
  <c r="T53" i="1" a="1"/>
  <c r="T57" i="1" a="1"/>
  <c r="T61" i="1" a="1"/>
  <c r="T47" i="1" a="1"/>
  <c r="T51" i="1" a="1"/>
  <c r="T55" i="1" a="1"/>
  <c r="T59" i="1" a="1"/>
  <c r="T63" i="1" a="1"/>
  <c r="T43" i="1" a="1"/>
  <c r="S44" i="1" a="1"/>
  <c r="S46" i="1" a="1"/>
  <c r="S48" i="1" a="1"/>
  <c r="S50" i="1" a="1"/>
  <c r="S52" i="1" a="1"/>
  <c r="S54" i="1" a="1"/>
  <c r="S56" i="1" a="1"/>
  <c r="S58" i="1" a="1"/>
  <c r="S60" i="1" a="1"/>
  <c r="S62" i="1" a="1"/>
  <c r="S59" i="1" a="1"/>
  <c r="S45" i="1" a="1"/>
  <c r="S47" i="1" a="1"/>
  <c r="S49" i="1" a="1"/>
  <c r="S51" i="1" a="1"/>
  <c r="S53" i="1" a="1"/>
  <c r="S55" i="1" a="1"/>
  <c r="S57" i="1" a="1"/>
  <c r="S61" i="1" a="1"/>
  <c r="S63" i="1" a="1"/>
  <c r="S43" i="1" a="1"/>
  <c r="R44" i="1" a="1"/>
  <c r="R46" i="1" a="1"/>
  <c r="R48" i="1" a="1"/>
  <c r="R50" i="1" a="1"/>
  <c r="R52" i="1" a="1"/>
  <c r="R54" i="1" a="1"/>
  <c r="R56" i="1" a="1"/>
  <c r="R58" i="1" a="1"/>
  <c r="R60" i="1" a="1"/>
  <c r="R62" i="1" a="1"/>
  <c r="R59" i="1" a="1"/>
  <c r="R47" i="1" a="1"/>
  <c r="R49" i="1" a="1"/>
  <c r="R51" i="1" a="1"/>
  <c r="R53" i="1" a="1"/>
  <c r="R55" i="1" a="1"/>
  <c r="R57" i="1" a="1"/>
  <c r="R61" i="1" a="1"/>
  <c r="R63" i="1" a="1"/>
  <c r="R45" i="1" a="1"/>
  <c r="R43" i="1" a="1"/>
  <c r="Q44" i="1" a="1"/>
  <c r="Q46" i="1" a="1"/>
  <c r="Q48" i="1" a="1"/>
  <c r="Q50" i="1" a="1"/>
  <c r="Q52" i="1" a="1"/>
  <c r="Q54" i="1" a="1"/>
  <c r="Q56" i="1" a="1"/>
  <c r="Q58" i="1" a="1"/>
  <c r="Q60" i="1" a="1"/>
  <c r="Q62" i="1" a="1"/>
  <c r="Q55" i="1" a="1"/>
  <c r="Q45" i="1" a="1"/>
  <c r="Q47" i="1" a="1"/>
  <c r="Q49" i="1" a="1"/>
  <c r="Q51" i="1" a="1"/>
  <c r="Q53" i="1" a="1"/>
  <c r="Q57" i="1" a="1"/>
  <c r="Q59" i="1" a="1"/>
  <c r="Q61" i="1" a="1"/>
  <c r="Q63" i="1" a="1"/>
  <c r="Q43" i="1" a="1"/>
  <c r="P44" i="1" a="1"/>
  <c r="P46" i="1" a="1"/>
  <c r="P48" i="1" a="1"/>
  <c r="P50" i="1" a="1"/>
  <c r="P52" i="1" a="1"/>
  <c r="P54" i="1" a="1"/>
  <c r="P56" i="1" a="1"/>
  <c r="P58" i="1" a="1"/>
  <c r="P60" i="1" a="1"/>
  <c r="P62" i="1" a="1"/>
  <c r="P47" i="1" a="1"/>
  <c r="P49" i="1" a="1"/>
  <c r="P53" i="1" a="1"/>
  <c r="P57" i="1" a="1"/>
  <c r="P61" i="1" a="1"/>
  <c r="P45" i="1" a="1"/>
  <c r="P51" i="1" a="1"/>
  <c r="P55" i="1" a="1"/>
  <c r="P59" i="1" a="1"/>
  <c r="P63" i="1" a="1"/>
  <c r="P43" i="1" a="1"/>
  <c r="O44" i="1" a="1"/>
  <c r="O46" i="1" a="1"/>
  <c r="O48" i="1" a="1"/>
  <c r="O50" i="1" a="1"/>
  <c r="O52" i="1" a="1"/>
  <c r="O54" i="1" a="1"/>
  <c r="O56" i="1" a="1"/>
  <c r="O58" i="1" a="1"/>
  <c r="O60" i="1" a="1"/>
  <c r="O62" i="1" a="1"/>
  <c r="O47" i="1" a="1"/>
  <c r="O49" i="1" a="1"/>
  <c r="O51" i="1" a="1"/>
  <c r="O55" i="1" a="1"/>
  <c r="O59" i="1" a="1"/>
  <c r="O63" i="1" a="1"/>
  <c r="O45" i="1" a="1"/>
  <c r="O53" i="1" a="1"/>
  <c r="O57" i="1" a="1"/>
  <c r="O61" i="1" a="1"/>
  <c r="O43" i="1" a="1"/>
  <c r="I44" i="1" a="1"/>
  <c r="I46" i="1" a="1"/>
  <c r="I48" i="1" a="1"/>
  <c r="I50" i="1" a="1"/>
  <c r="I52" i="1" a="1"/>
  <c r="I54" i="1" a="1"/>
  <c r="I56" i="1" a="1"/>
  <c r="I58" i="1" a="1"/>
  <c r="I60" i="1" a="1"/>
  <c r="I62" i="1" a="1"/>
  <c r="I49" i="1" a="1"/>
  <c r="I51" i="1" a="1"/>
  <c r="I55" i="1" a="1"/>
  <c r="I61" i="1" a="1"/>
  <c r="I47" i="1" a="1"/>
  <c r="I53" i="1" a="1"/>
  <c r="I59" i="1" a="1"/>
  <c r="I63" i="1" a="1"/>
  <c r="I45" i="1" a="1"/>
  <c r="I57" i="1" a="1"/>
  <c r="I43" i="1" a="1"/>
  <c r="H46" i="1" a="1"/>
  <c r="H48" i="1" a="1"/>
  <c r="H50" i="1" a="1"/>
  <c r="H52" i="1" a="1"/>
  <c r="H54" i="1" a="1"/>
  <c r="H56" i="1" a="1"/>
  <c r="H58" i="1" a="1"/>
  <c r="H60" i="1" a="1"/>
  <c r="H62" i="1" a="1"/>
  <c r="H47" i="1" a="1"/>
  <c r="H49" i="1" a="1"/>
  <c r="H51" i="1" a="1"/>
  <c r="H53" i="1" a="1"/>
  <c r="H55" i="1" a="1"/>
  <c r="H57" i="1" a="1"/>
  <c r="H59" i="1" a="1"/>
  <c r="H61" i="1" a="1"/>
  <c r="H63" i="1" a="1"/>
  <c r="H44" i="1" a="1"/>
  <c r="H45" i="1" a="1"/>
  <c r="H43" i="1" a="1"/>
  <c r="G44" i="1" a="1"/>
  <c r="G46" i="1" a="1"/>
  <c r="G48" i="1" a="1"/>
  <c r="G50" i="1" a="1"/>
  <c r="G52" i="1" a="1"/>
  <c r="G54" i="1" a="1"/>
  <c r="G56" i="1" a="1"/>
  <c r="G58" i="1" a="1"/>
  <c r="G60" i="1" a="1"/>
  <c r="G62" i="1" a="1"/>
  <c r="G53" i="1" a="1"/>
  <c r="G45" i="1" a="1"/>
  <c r="G47" i="1" a="1"/>
  <c r="G49" i="1" a="1"/>
  <c r="G51" i="1" a="1"/>
  <c r="G55" i="1" a="1"/>
  <c r="G57" i="1" a="1"/>
  <c r="G59" i="1" a="1"/>
  <c r="G61" i="1" a="1"/>
  <c r="G63" i="1" a="1"/>
  <c r="G43" i="1" a="1"/>
  <c r="F44" i="1" a="1"/>
  <c r="F46" i="1" a="1"/>
  <c r="F48" i="1" a="1"/>
  <c r="F50" i="1" a="1"/>
  <c r="F52" i="1" a="1"/>
  <c r="F54" i="1" a="1"/>
  <c r="F56" i="1" a="1"/>
  <c r="F58" i="1" a="1"/>
  <c r="F60" i="1" a="1"/>
  <c r="F62" i="1" a="1"/>
  <c r="F59" i="1" a="1"/>
  <c r="F45" i="1" a="1"/>
  <c r="F49" i="1" a="1"/>
  <c r="F53" i="1" a="1"/>
  <c r="F55" i="1" a="1"/>
  <c r="F61" i="1" a="1"/>
  <c r="F47" i="1" a="1"/>
  <c r="F51" i="1" a="1"/>
  <c r="F57" i="1" a="1"/>
  <c r="F63" i="1" a="1"/>
  <c r="F43" i="1" a="1"/>
  <c r="E44" i="1" a="1"/>
  <c r="E46" i="1" a="1"/>
  <c r="E48" i="1" a="1"/>
  <c r="E50" i="1" a="1"/>
  <c r="E52" i="1" a="1"/>
  <c r="E54" i="1" a="1"/>
  <c r="E56" i="1" a="1"/>
  <c r="E58" i="1" a="1"/>
  <c r="E60" i="1" a="1"/>
  <c r="E62" i="1" a="1"/>
  <c r="E45" i="1" a="1"/>
  <c r="E49" i="1" a="1"/>
  <c r="E51" i="1" a="1"/>
  <c r="E53" i="1" a="1"/>
  <c r="E55" i="1" a="1"/>
  <c r="E57" i="1" a="1"/>
  <c r="E59" i="1" a="1"/>
  <c r="E61" i="1" a="1"/>
  <c r="E47" i="1" a="1"/>
  <c r="E63" i="1" a="1"/>
  <c r="E43" i="1" a="1"/>
  <c r="D44" i="1" a="1"/>
  <c r="D46" i="1" a="1"/>
  <c r="D48" i="1" a="1"/>
  <c r="D50" i="1" a="1"/>
  <c r="D52" i="1" a="1"/>
  <c r="D54" i="1" a="1"/>
  <c r="D56" i="1" a="1"/>
  <c r="D58" i="1" a="1"/>
  <c r="D60" i="1" a="1"/>
  <c r="D62" i="1" a="1"/>
  <c r="D47" i="1" a="1"/>
  <c r="D51" i="1" a="1"/>
  <c r="D53" i="1" a="1"/>
  <c r="D57" i="1" a="1"/>
  <c r="D61" i="1" a="1"/>
  <c r="D45" i="1" a="1"/>
  <c r="D49" i="1" a="1"/>
  <c r="D55" i="1" a="1"/>
  <c r="D59" i="1" a="1"/>
  <c r="D63" i="1" a="1"/>
  <c r="D43" i="1" a="1"/>
  <c r="I9" i="1" a="1"/>
  <c r="I8" i="1" a="1"/>
  <c r="I7" i="1" a="1"/>
  <c r="I6" i="1" a="1"/>
  <c r="I5" i="1" a="1"/>
  <c r="I4" i="1" a="1"/>
  <c r="H9" i="1" a="1"/>
  <c r="H8" i="1" a="1"/>
  <c r="H7" i="1" a="1"/>
  <c r="H6" i="1" a="1"/>
  <c r="AD63" i="1" l="1"/>
  <c r="AD61" i="1"/>
  <c r="AD59" i="1"/>
  <c r="AD57" i="1"/>
  <c r="AD55" i="1"/>
  <c r="AD53" i="1"/>
  <c r="AD51" i="1"/>
  <c r="AD49" i="1"/>
  <c r="AD47" i="1"/>
  <c r="AD45" i="1"/>
  <c r="AD62" i="1"/>
  <c r="AD60" i="1"/>
  <c r="AD58" i="1"/>
  <c r="AD56" i="1"/>
  <c r="AD54" i="1"/>
  <c r="AD52" i="1"/>
  <c r="AD50" i="1"/>
  <c r="AD48" i="1"/>
  <c r="AD46" i="1"/>
  <c r="AD44" i="1"/>
  <c r="AD43" i="1"/>
  <c r="AC63" i="1"/>
  <c r="AC61" i="1"/>
  <c r="AC59" i="1"/>
  <c r="AC57" i="1"/>
  <c r="AC55" i="1"/>
  <c r="AC51" i="1"/>
  <c r="AC49" i="1"/>
  <c r="AC47" i="1"/>
  <c r="AC45" i="1"/>
  <c r="AC53" i="1"/>
  <c r="AC62" i="1"/>
  <c r="AC60" i="1"/>
  <c r="AC58" i="1"/>
  <c r="AC56" i="1"/>
  <c r="AC54" i="1"/>
  <c r="AC52" i="1"/>
  <c r="AC50" i="1"/>
  <c r="AC48" i="1"/>
  <c r="AC46" i="1"/>
  <c r="AC44" i="1"/>
  <c r="AC43" i="1"/>
  <c r="AB61" i="1"/>
  <c r="AB57" i="1"/>
  <c r="AB53" i="1"/>
  <c r="AB45" i="1"/>
  <c r="AB63" i="1"/>
  <c r="AB59" i="1"/>
  <c r="AB55" i="1"/>
  <c r="AB51" i="1"/>
  <c r="AB49" i="1"/>
  <c r="AB47" i="1"/>
  <c r="AB62" i="1"/>
  <c r="AB60" i="1"/>
  <c r="AB58" i="1"/>
  <c r="AB56" i="1"/>
  <c r="AB54" i="1"/>
  <c r="AB52" i="1"/>
  <c r="AB50" i="1"/>
  <c r="AB48" i="1"/>
  <c r="AB46" i="1"/>
  <c r="AB44" i="1"/>
  <c r="AB43" i="1"/>
  <c r="AA63" i="1"/>
  <c r="AA61" i="1"/>
  <c r="AA59" i="1"/>
  <c r="AA57" i="1"/>
  <c r="AA55" i="1"/>
  <c r="AA51" i="1"/>
  <c r="AA45" i="1"/>
  <c r="AA53" i="1"/>
  <c r="AA49" i="1"/>
  <c r="AA47" i="1"/>
  <c r="AA62" i="1"/>
  <c r="AA60" i="1"/>
  <c r="AA58" i="1"/>
  <c r="AA56" i="1"/>
  <c r="AA54" i="1"/>
  <c r="AA52" i="1"/>
  <c r="AA50" i="1"/>
  <c r="AA48" i="1"/>
  <c r="AA46" i="1"/>
  <c r="AA44" i="1"/>
  <c r="AA43" i="1"/>
  <c r="Z63" i="1"/>
  <c r="Z61" i="1"/>
  <c r="Z59" i="1"/>
  <c r="Z55" i="1"/>
  <c r="Z53" i="1"/>
  <c r="Z51" i="1"/>
  <c r="Z49" i="1"/>
  <c r="Z47" i="1"/>
  <c r="Z45" i="1"/>
  <c r="Z57" i="1"/>
  <c r="Z62" i="1"/>
  <c r="Z60" i="1"/>
  <c r="Z58" i="1"/>
  <c r="Z56" i="1"/>
  <c r="Z54" i="1"/>
  <c r="Z52" i="1"/>
  <c r="Z50" i="1"/>
  <c r="Z48" i="1"/>
  <c r="Z46" i="1"/>
  <c r="Z44" i="1"/>
  <c r="Z43" i="1"/>
  <c r="Y63" i="1"/>
  <c r="Y61" i="1"/>
  <c r="Y59" i="1"/>
  <c r="Y57" i="1"/>
  <c r="Y55" i="1"/>
  <c r="Y53" i="1"/>
  <c r="Y51" i="1"/>
  <c r="Y49" i="1"/>
  <c r="Y47" i="1"/>
  <c r="Y45" i="1"/>
  <c r="Y62" i="1"/>
  <c r="Y60" i="1"/>
  <c r="Y58" i="1"/>
  <c r="Y56" i="1"/>
  <c r="Y54" i="1"/>
  <c r="Y52" i="1"/>
  <c r="Y50" i="1"/>
  <c r="Y48" i="1"/>
  <c r="Y46" i="1"/>
  <c r="Y44" i="1"/>
  <c r="Y43" i="1"/>
  <c r="T63" i="1"/>
  <c r="T59" i="1"/>
  <c r="T55" i="1"/>
  <c r="T51" i="1"/>
  <c r="T47" i="1"/>
  <c r="T61" i="1"/>
  <c r="T57" i="1"/>
  <c r="T53" i="1"/>
  <c r="T49" i="1"/>
  <c r="T45" i="1"/>
  <c r="T62" i="1"/>
  <c r="T60" i="1"/>
  <c r="T58" i="1"/>
  <c r="T56" i="1"/>
  <c r="T54" i="1"/>
  <c r="T52" i="1"/>
  <c r="T50" i="1"/>
  <c r="T48" i="1"/>
  <c r="T46" i="1"/>
  <c r="T44" i="1"/>
  <c r="T43" i="1"/>
  <c r="S63" i="1"/>
  <c r="S61" i="1"/>
  <c r="S57" i="1"/>
  <c r="S55" i="1"/>
  <c r="S53" i="1"/>
  <c r="S51" i="1"/>
  <c r="S49" i="1"/>
  <c r="S47" i="1"/>
  <c r="S45" i="1"/>
  <c r="S59" i="1"/>
  <c r="S62" i="1"/>
  <c r="S60" i="1"/>
  <c r="S58" i="1"/>
  <c r="S56" i="1"/>
  <c r="S54" i="1"/>
  <c r="S52" i="1"/>
  <c r="S50" i="1"/>
  <c r="S48" i="1"/>
  <c r="S46" i="1"/>
  <c r="S44" i="1"/>
  <c r="S43" i="1"/>
  <c r="R45" i="1"/>
  <c r="R63" i="1"/>
  <c r="R61" i="1"/>
  <c r="R57" i="1"/>
  <c r="R55" i="1"/>
  <c r="R53" i="1"/>
  <c r="R51" i="1"/>
  <c r="R49" i="1"/>
  <c r="R47" i="1"/>
  <c r="R59" i="1"/>
  <c r="R62" i="1"/>
  <c r="R60" i="1"/>
  <c r="R58" i="1"/>
  <c r="R56" i="1"/>
  <c r="R54" i="1"/>
  <c r="R52" i="1"/>
  <c r="R50" i="1"/>
  <c r="R48" i="1"/>
  <c r="R46" i="1"/>
  <c r="R44" i="1"/>
  <c r="R43" i="1"/>
  <c r="Q63" i="1"/>
  <c r="Q61" i="1"/>
  <c r="Q59" i="1"/>
  <c r="Q57" i="1"/>
  <c r="Q53" i="1"/>
  <c r="Q51" i="1"/>
  <c r="Q49" i="1"/>
  <c r="Q47" i="1"/>
  <c r="Q45" i="1"/>
  <c r="Q55" i="1"/>
  <c r="Q62" i="1"/>
  <c r="Q60" i="1"/>
  <c r="Q58" i="1"/>
  <c r="Q56" i="1"/>
  <c r="Q54" i="1"/>
  <c r="Q52" i="1"/>
  <c r="Q50" i="1"/>
  <c r="Q48" i="1"/>
  <c r="Q46" i="1"/>
  <c r="Q44" i="1"/>
  <c r="Q43" i="1"/>
  <c r="P63" i="1"/>
  <c r="P59" i="1"/>
  <c r="P55" i="1"/>
  <c r="P51" i="1"/>
  <c r="P45" i="1"/>
  <c r="P61" i="1"/>
  <c r="P57" i="1"/>
  <c r="P53" i="1"/>
  <c r="P49" i="1"/>
  <c r="P47" i="1"/>
  <c r="P62" i="1"/>
  <c r="P60" i="1"/>
  <c r="P58" i="1"/>
  <c r="P56" i="1"/>
  <c r="P54" i="1"/>
  <c r="P52" i="1"/>
  <c r="P50" i="1"/>
  <c r="P48" i="1"/>
  <c r="P46" i="1"/>
  <c r="P44" i="1"/>
  <c r="P43" i="1"/>
  <c r="O61" i="1"/>
  <c r="O57" i="1"/>
  <c r="O53" i="1"/>
  <c r="O45" i="1"/>
  <c r="O63" i="1"/>
  <c r="O59" i="1"/>
  <c r="O55" i="1"/>
  <c r="O51" i="1"/>
  <c r="O49" i="1"/>
  <c r="O47" i="1"/>
  <c r="O62" i="1"/>
  <c r="O60" i="1"/>
  <c r="O58" i="1"/>
  <c r="O56" i="1"/>
  <c r="O54" i="1"/>
  <c r="O52" i="1"/>
  <c r="O50" i="1"/>
  <c r="O48" i="1"/>
  <c r="O46" i="1"/>
  <c r="O44" i="1"/>
  <c r="O43" i="1"/>
  <c r="I57" i="1"/>
  <c r="I45" i="1"/>
  <c r="I63" i="1"/>
  <c r="I59" i="1"/>
  <c r="I53" i="1"/>
  <c r="I47" i="1"/>
  <c r="I61" i="1"/>
  <c r="I55" i="1"/>
  <c r="I51" i="1"/>
  <c r="I49" i="1"/>
  <c r="I62" i="1"/>
  <c r="I60" i="1"/>
  <c r="I58" i="1"/>
  <c r="I56" i="1"/>
  <c r="I54" i="1"/>
  <c r="I52" i="1"/>
  <c r="I50" i="1"/>
  <c r="I48" i="1"/>
  <c r="I46" i="1"/>
  <c r="I44" i="1"/>
  <c r="I43" i="1"/>
  <c r="H63" i="1"/>
  <c r="H61" i="1"/>
  <c r="H59" i="1"/>
  <c r="H57" i="1"/>
  <c r="H55" i="1"/>
  <c r="H53" i="1"/>
  <c r="H51" i="1"/>
  <c r="H49" i="1"/>
  <c r="H47" i="1"/>
  <c r="H62" i="1"/>
  <c r="H60" i="1"/>
  <c r="H58" i="1"/>
  <c r="H56" i="1"/>
  <c r="H54" i="1"/>
  <c r="H52" i="1"/>
  <c r="H50" i="1"/>
  <c r="H48" i="1"/>
  <c r="H46" i="1"/>
  <c r="H45" i="1"/>
  <c r="H44" i="1"/>
  <c r="H43" i="1"/>
  <c r="G63" i="1"/>
  <c r="G61" i="1"/>
  <c r="G59" i="1"/>
  <c r="G57" i="1"/>
  <c r="G55" i="1"/>
  <c r="G51" i="1"/>
  <c r="G49" i="1"/>
  <c r="G47" i="1"/>
  <c r="G45" i="1"/>
  <c r="G53" i="1"/>
  <c r="G62" i="1"/>
  <c r="G60" i="1"/>
  <c r="G58" i="1"/>
  <c r="G56" i="1"/>
  <c r="G54" i="1"/>
  <c r="G52" i="1"/>
  <c r="G50" i="1"/>
  <c r="G48" i="1"/>
  <c r="G46" i="1"/>
  <c r="G44" i="1"/>
  <c r="G43" i="1"/>
  <c r="F63" i="1"/>
  <c r="F57" i="1"/>
  <c r="F51" i="1"/>
  <c r="F47" i="1"/>
  <c r="F61" i="1"/>
  <c r="F55" i="1"/>
  <c r="F53" i="1"/>
  <c r="F49" i="1"/>
  <c r="F45" i="1"/>
  <c r="F59" i="1"/>
  <c r="F62" i="1"/>
  <c r="F60" i="1"/>
  <c r="F58" i="1"/>
  <c r="F56" i="1"/>
  <c r="F54" i="1"/>
  <c r="F52" i="1"/>
  <c r="F50" i="1"/>
  <c r="F48" i="1"/>
  <c r="F46" i="1"/>
  <c r="F44" i="1"/>
  <c r="F43" i="1"/>
  <c r="E63" i="1"/>
  <c r="E47" i="1"/>
  <c r="E61" i="1"/>
  <c r="E59" i="1"/>
  <c r="E57" i="1"/>
  <c r="E55" i="1"/>
  <c r="E53" i="1"/>
  <c r="E51" i="1"/>
  <c r="E49" i="1"/>
  <c r="E45" i="1"/>
  <c r="E62" i="1"/>
  <c r="E60" i="1"/>
  <c r="E58" i="1"/>
  <c r="E56" i="1"/>
  <c r="E54" i="1"/>
  <c r="E52" i="1"/>
  <c r="E50" i="1"/>
  <c r="E48" i="1"/>
  <c r="E46" i="1"/>
  <c r="E44" i="1"/>
  <c r="E43" i="1"/>
  <c r="D63" i="1"/>
  <c r="D59" i="1"/>
  <c r="D55" i="1"/>
  <c r="D49" i="1"/>
  <c r="D45" i="1"/>
  <c r="D61" i="1"/>
  <c r="D57" i="1"/>
  <c r="D53" i="1"/>
  <c r="D51" i="1"/>
  <c r="D47" i="1"/>
  <c r="D62" i="1"/>
  <c r="D60" i="1"/>
  <c r="D58" i="1"/>
  <c r="D56" i="1"/>
  <c r="D54" i="1"/>
  <c r="D52" i="1"/>
  <c r="D50" i="1"/>
  <c r="D48" i="1"/>
  <c r="D46" i="1"/>
  <c r="D44" i="1"/>
  <c r="D43" i="1"/>
  <c r="I9" i="1"/>
  <c r="I8" i="1"/>
  <c r="I7" i="1"/>
  <c r="I6" i="1"/>
  <c r="I5" i="1"/>
  <c r="I4" i="1"/>
  <c r="H9" i="1"/>
  <c r="H8" i="1"/>
  <c r="H7" i="1"/>
  <c r="H6" i="1"/>
  <c r="H12" i="1" l="1" a="1"/>
  <c r="H16" i="1" a="1"/>
  <c r="H15" i="1" a="1"/>
  <c r="H14" i="1" a="1"/>
  <c r="H13" i="1" a="1"/>
  <c r="H11" i="1" a="1"/>
  <c r="H10" i="1" a="1"/>
  <c r="H5" i="1" a="1"/>
  <c r="H4" i="1" a="1"/>
  <c r="H12" i="1" l="1"/>
  <c r="H16" i="1"/>
  <c r="H15" i="1"/>
  <c r="H14" i="1"/>
  <c r="H13" i="1"/>
  <c r="H11" i="1"/>
  <c r="H10" i="1"/>
  <c r="H5" i="1"/>
  <c r="H4" i="1"/>
  <c r="AB42" i="1"/>
  <c r="AA42" i="1"/>
  <c r="R42" i="1"/>
  <c r="Q42" i="1"/>
  <c r="W53" i="1" l="1"/>
  <c r="W47" i="1" s="1"/>
  <c r="X47" i="1" s="1"/>
  <c r="D10" i="1"/>
  <c r="C53" i="1"/>
  <c r="C43" i="1" s="1"/>
  <c r="W55" i="1" l="1"/>
  <c r="X55" i="1" s="1"/>
  <c r="W56" i="1"/>
  <c r="X56" i="1" s="1"/>
  <c r="W52" i="1"/>
  <c r="X52" i="1" s="1"/>
  <c r="W50" i="1"/>
  <c r="X50" i="1" s="1"/>
  <c r="W57" i="1"/>
  <c r="X57" i="1" s="1"/>
  <c r="W49" i="1"/>
  <c r="X49" i="1" s="1"/>
  <c r="W63" i="1"/>
  <c r="X63" i="1" s="1"/>
  <c r="W46" i="1"/>
  <c r="X46" i="1" s="1"/>
  <c r="W61" i="1"/>
  <c r="X61" i="1" s="1"/>
  <c r="W45" i="1"/>
  <c r="X45" i="1" s="1"/>
  <c r="W54" i="1"/>
  <c r="X54" i="1" s="1"/>
  <c r="W60" i="1"/>
  <c r="X60" i="1" s="1"/>
  <c r="W44" i="1"/>
  <c r="X44" i="1" s="1"/>
  <c r="W62" i="1"/>
  <c r="X62" i="1" s="1"/>
  <c r="W51" i="1"/>
  <c r="X51" i="1" s="1"/>
  <c r="W43" i="1"/>
  <c r="X43" i="1" s="1"/>
  <c r="W59" i="1"/>
  <c r="X59" i="1" s="1"/>
  <c r="W48" i="1"/>
  <c r="X48" i="1" s="1"/>
  <c r="X53" i="1"/>
  <c r="W58" i="1"/>
  <c r="X58" i="1" s="1"/>
  <c r="C58" i="1"/>
  <c r="C50" i="1"/>
  <c r="C48" i="1"/>
  <c r="C60" i="1"/>
  <c r="C59" i="1"/>
  <c r="C49" i="1"/>
  <c r="C57" i="1"/>
  <c r="C47" i="1"/>
  <c r="C54" i="1"/>
  <c r="C56" i="1"/>
  <c r="C46" i="1"/>
  <c r="C63" i="1"/>
  <c r="C55" i="1"/>
  <c r="C45" i="1"/>
  <c r="C62" i="1"/>
  <c r="C52" i="1"/>
  <c r="C44" i="1"/>
  <c r="C61" i="1"/>
  <c r="C51" i="1"/>
  <c r="N53" i="1"/>
  <c r="N49" i="1" l="1"/>
  <c r="N50" i="1"/>
  <c r="N43" i="1"/>
  <c r="N51" i="1"/>
  <c r="N44" i="1"/>
  <c r="N52" i="1"/>
  <c r="N45" i="1"/>
  <c r="N46" i="1"/>
  <c r="N47" i="1"/>
  <c r="N48" i="1"/>
  <c r="N54" i="1"/>
  <c r="N62" i="1"/>
  <c r="N61" i="1"/>
  <c r="N60" i="1"/>
  <c r="N59" i="1"/>
  <c r="N58" i="1"/>
  <c r="N57" i="1"/>
  <c r="N56" i="1"/>
  <c r="N63" i="1"/>
  <c r="N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<sst xmlns="http://schemas.openxmlformats.org/spreadsheetml/2006/main" count="53" uniqueCount="41">
  <si>
    <t>d1</t>
  </si>
  <si>
    <t>d2</t>
  </si>
  <si>
    <t>N(d1)</t>
  </si>
  <si>
    <t>N(d2)</t>
  </si>
  <si>
    <t>N'(d1)</t>
  </si>
  <si>
    <t>N(-d2)</t>
  </si>
  <si>
    <t>N(-d1)</t>
  </si>
  <si>
    <t>T (лет)</t>
  </si>
  <si>
    <t>Option Parameters:</t>
  </si>
  <si>
    <t>Chart Settings:</t>
  </si>
  <si>
    <t>Base Asset Price</t>
  </si>
  <si>
    <t>Strike</t>
  </si>
  <si>
    <t>Implied Volatility</t>
  </si>
  <si>
    <t>Days to Maturity</t>
  </si>
  <si>
    <t>Days in a Year</t>
  </si>
  <si>
    <t>Risk-free Rate</t>
  </si>
  <si>
    <t>https://RiskSir.com</t>
  </si>
  <si>
    <t>Source:</t>
  </si>
  <si>
    <t>Result:</t>
  </si>
  <si>
    <t>Call</t>
  </si>
  <si>
    <t>Put</t>
  </si>
  <si>
    <t>Price</t>
  </si>
  <si>
    <t>Delta</t>
  </si>
  <si>
    <t>Gamma</t>
  </si>
  <si>
    <t>Vega</t>
  </si>
  <si>
    <t>Theta</t>
  </si>
  <si>
    <t>Rho</t>
  </si>
  <si>
    <t>Price step (% of Strike price):</t>
  </si>
  <si>
    <t>Volatility step</t>
  </si>
  <si>
    <t>Time step (days)</t>
  </si>
  <si>
    <t>Changing Base Asset price (other params are constants):</t>
  </si>
  <si>
    <t>Changing Implied Volatility (other params are constants):</t>
  </si>
  <si>
    <t>Changing Days to Maturity (other params are constants):</t>
  </si>
  <si>
    <t>IV</t>
  </si>
  <si>
    <t>Base Asset</t>
  </si>
  <si>
    <t>Call expiration</t>
  </si>
  <si>
    <t>Days to expiration</t>
  </si>
  <si>
    <t>Years to exp</t>
  </si>
  <si>
    <r>
      <rPr>
        <b/>
        <sz val="11"/>
        <color theme="2" tint="-0.499984740745262"/>
        <rFont val="Calibri"/>
        <family val="2"/>
        <charset val="204"/>
      </rPr>
      <t>∆</t>
    </r>
    <r>
      <rPr>
        <b/>
        <sz val="11"/>
        <color theme="2" tint="-0.499984740745262"/>
        <rFont val="Calibri"/>
        <family val="2"/>
        <charset val="204"/>
        <scheme val="minor"/>
      </rPr>
      <t>Call</t>
    </r>
  </si>
  <si>
    <r>
      <rPr>
        <b/>
        <sz val="11"/>
        <color theme="2" tint="-0.499984740745262"/>
        <rFont val="Calibri"/>
        <family val="2"/>
        <charset val="204"/>
      </rPr>
      <t>–∆</t>
    </r>
    <r>
      <rPr>
        <b/>
        <sz val="11"/>
        <color theme="2" tint="-0.499984740745262"/>
        <rFont val="Calibri"/>
        <family val="2"/>
        <charset val="204"/>
        <scheme val="minor"/>
      </rPr>
      <t>Put</t>
    </r>
  </si>
  <si>
    <r>
      <t xml:space="preserve">Black-Scholes-Merton European Option Price Model </t>
    </r>
    <r>
      <rPr>
        <b/>
        <sz val="11"/>
        <color rgb="FF1B736B"/>
        <rFont val="Calibri"/>
        <family val="2"/>
        <charset val="204"/>
        <scheme val="minor"/>
      </rPr>
      <t>in VBA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</si>
</sst>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р_._-;\-* #,##0.00_р_._-;_-* &quot;-&quot;??_р_._-;_-@_-"/>
    <numFmt numFmtId="165" formatCode="0.000000"/>
    <numFmt numFmtId="166" formatCode="0.00000"/>
    <numFmt numFmtId="167" formatCode="0.0000"/>
    <numFmt numFmtId="168" formatCode="0.0%"/>
    <numFmt numFmtId="169" formatCode="_-* #,##0_р_._-;\-* #,##0_р_._-;_-* &quot;-&quot;??_р_._-;_-@_-"/>
    <numFmt numFmtId="170" formatCode="_-* #,##0.0000_р_._-;\-* #,##0.0000_р_._-;_-* &quot;-&quot;??_р_._-;_-@_-"/>
  </numFmts>
  <fonts count="2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1"/>
      <color theme="2" tint="-0.499984740745262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1" tint="0.249977111117893"/>
      <name val="Calibri"/>
      <family val="2"/>
      <charset val="204"/>
      <scheme val="minor"/>
    </font>
    <font>
      <b/>
      <sz val="11"/>
      <color theme="2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1"/>
      <color theme="1" tint="0.34998626667073579"/>
      <name val="Calibri"/>
      <family val="2"/>
      <charset val="204"/>
      <scheme val="minor"/>
    </font>
    <font>
      <sz val="11"/>
      <color rgb="FF1B736B"/>
      <name val="Calibri"/>
      <family val="2"/>
      <charset val="204"/>
      <scheme val="minor"/>
    </font>
    <font>
      <b/>
      <sz val="11"/>
      <color theme="2" tint="-0.499984740745262"/>
      <name val="Calibri"/>
      <family val="1"/>
      <charset val="2"/>
      <scheme val="minor"/>
    </font>
    <font>
      <b/>
      <sz val="11"/>
      <color theme="2" tint="-0.499984740745262"/>
      <name val="Calibri"/>
      <family val="2"/>
      <charset val="204"/>
    </font>
    <font>
      <b/>
      <sz val="11"/>
      <color rgb="FF1B736B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7">
    <xf numFmtId="0" fontId="0" fillId="0" borderId="0" xfId="0"/>
    <xf numFmtId="0" fontId="0" fillId="2" borderId="1" xfId="0" applyFill="1" applyBorder="1"/>
    <xf numFmtId="0" fontId="0" fillId="2" borderId="1" xfId="0" applyFont="1" applyFill="1" applyBorder="1"/>
    <xf numFmtId="0" fontId="3" fillId="3" borderId="1" xfId="0" applyFont="1" applyFill="1" applyBorder="1"/>
    <xf numFmtId="0" fontId="0" fillId="4" borderId="0" xfId="0" applyFill="1"/>
    <xf numFmtId="0" fontId="2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0" borderId="0" xfId="0" applyFill="1"/>
    <xf numFmtId="0" fontId="0" fillId="7" borderId="0" xfId="0" applyFill="1"/>
    <xf numFmtId="0" fontId="0" fillId="4" borderId="0" xfId="0" applyFill="1" applyAlignment="1">
      <alignment wrapText="1"/>
    </xf>
    <xf numFmtId="168" fontId="3" fillId="3" borderId="1" xfId="2" applyNumberFormat="1" applyFont="1" applyFill="1" applyBorder="1"/>
    <xf numFmtId="167" fontId="4" fillId="4" borderId="0" xfId="0" applyNumberFormat="1" applyFont="1" applyFill="1"/>
    <xf numFmtId="0" fontId="0" fillId="0" borderId="0" xfId="0" applyAlignment="1">
      <alignment wrapText="1"/>
    </xf>
    <xf numFmtId="0" fontId="13" fillId="4" borderId="0" xfId="0" applyFont="1" applyFill="1" applyAlignment="1">
      <alignment horizontal="right"/>
    </xf>
    <xf numFmtId="166" fontId="7" fillId="4" borderId="0" xfId="0" applyNumberFormat="1" applyFont="1" applyFill="1"/>
    <xf numFmtId="0" fontId="10" fillId="0" borderId="0" xfId="3" applyFont="1" applyFill="1" applyAlignment="1">
      <alignment horizontal="center" vertical="center" textRotation="90"/>
    </xf>
    <xf numFmtId="0" fontId="0" fillId="0" borderId="0" xfId="0" applyFill="1" applyAlignment="1">
      <alignment wrapText="1"/>
    </xf>
    <xf numFmtId="0" fontId="11" fillId="0" borderId="0" xfId="0" applyFont="1" applyFill="1" applyAlignment="1">
      <alignment horizontal="center" wrapText="1"/>
    </xf>
    <xf numFmtId="0" fontId="11" fillId="0" borderId="0" xfId="0" applyFont="1" applyFill="1" applyAlignment="1">
      <alignment horizontal="right" wrapText="1"/>
    </xf>
    <xf numFmtId="1" fontId="6" fillId="0" borderId="0" xfId="0" applyNumberFormat="1" applyFont="1" applyFill="1"/>
    <xf numFmtId="9" fontId="6" fillId="0" borderId="0" xfId="2" applyFont="1" applyFill="1" applyAlignment="1">
      <alignment horizontal="center" vertical="center"/>
    </xf>
    <xf numFmtId="2" fontId="6" fillId="0" borderId="0" xfId="0" applyNumberFormat="1" applyFont="1" applyFill="1"/>
    <xf numFmtId="1" fontId="6" fillId="0" borderId="0" xfId="0" applyNumberFormat="1" applyFont="1" applyFill="1" applyAlignment="1">
      <alignment horizontal="center" vertical="center"/>
    </xf>
    <xf numFmtId="9" fontId="6" fillId="0" borderId="3" xfId="2" applyFont="1" applyFill="1" applyBorder="1" applyAlignment="1">
      <alignment horizontal="center" vertical="center"/>
    </xf>
    <xf numFmtId="1" fontId="6" fillId="0" borderId="3" xfId="0" applyNumberFormat="1" applyFont="1" applyFill="1" applyBorder="1" applyAlignment="1">
      <alignment horizontal="center" vertical="center"/>
    </xf>
    <xf numFmtId="168" fontId="12" fillId="0" borderId="5" xfId="2" applyNumberFormat="1" applyFont="1" applyBorder="1" applyAlignment="1">
      <alignment horizontal="center" vertical="center"/>
    </xf>
    <xf numFmtId="169" fontId="12" fillId="0" borderId="5" xfId="1" applyNumberFormat="1" applyFont="1" applyBorder="1" applyAlignment="1">
      <alignment horizontal="left" vertical="top"/>
    </xf>
    <xf numFmtId="169" fontId="6" fillId="0" borderId="0" xfId="1" applyNumberFormat="1" applyFont="1" applyFill="1" applyAlignment="1">
      <alignment horizontal="center" vertical="center"/>
    </xf>
    <xf numFmtId="169" fontId="6" fillId="0" borderId="3" xfId="1" applyNumberFormat="1" applyFont="1" applyFill="1" applyBorder="1" applyAlignment="1">
      <alignment horizontal="center" vertical="center"/>
    </xf>
    <xf numFmtId="170" fontId="6" fillId="0" borderId="0" xfId="1" applyNumberFormat="1" applyFont="1" applyFill="1" applyAlignment="1">
      <alignment horizontal="center" vertical="center"/>
    </xf>
    <xf numFmtId="167" fontId="7" fillId="4" borderId="0" xfId="0" applyNumberFormat="1" applyFont="1" applyFill="1" applyAlignment="1">
      <alignment horizontal="left"/>
    </xf>
    <xf numFmtId="1" fontId="0" fillId="8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0" fontId="16" fillId="4" borderId="0" xfId="0" applyFont="1" applyFill="1" applyAlignment="1"/>
    <xf numFmtId="0" fontId="7" fillId="4" borderId="0" xfId="0" applyFont="1" applyFill="1" applyAlignment="1"/>
    <xf numFmtId="1" fontId="0" fillId="2" borderId="5" xfId="0" applyNumberFormat="1" applyFont="1" applyFill="1" applyBorder="1" applyAlignment="1">
      <alignment horizontal="left" vertical="center" wrapText="1"/>
    </xf>
    <xf numFmtId="9" fontId="3" fillId="3" borderId="1" xfId="0" applyNumberFormat="1" applyFont="1" applyFill="1" applyBorder="1"/>
    <xf numFmtId="0" fontId="6" fillId="4" borderId="0" xfId="0" applyFont="1" applyFill="1" applyAlignment="1">
      <alignment vertical="center"/>
    </xf>
    <xf numFmtId="0" fontId="9" fillId="4" borderId="0" xfId="3" applyFill="1" applyAlignment="1">
      <alignment vertical="center"/>
    </xf>
    <xf numFmtId="2" fontId="0" fillId="5" borderId="1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0" fontId="17" fillId="4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right" wrapText="1"/>
    </xf>
    <xf numFmtId="0" fontId="7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9" fillId="4" borderId="0" xfId="3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14" fillId="4" borderId="0" xfId="0" applyFont="1" applyFill="1" applyAlignment="1">
      <alignment horizontal="center" vertical="top" wrapText="1"/>
    </xf>
    <xf numFmtId="0" fontId="8" fillId="4" borderId="2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1" fontId="0" fillId="2" borderId="5" xfId="0" applyNumberFormat="1" applyFont="1" applyFill="1" applyBorder="1" applyAlignment="1">
      <alignment horizontal="left" vertical="center" wrapText="1"/>
    </xf>
    <xf numFmtId="1" fontId="0" fillId="2" borderId="6" xfId="0" applyNumberFormat="1" applyFont="1" applyFill="1" applyBorder="1" applyAlignment="1">
      <alignment horizontal="left" vertical="center" wrapText="1"/>
    </xf>
    <xf numFmtId="9" fontId="12" fillId="0" borderId="5" xfId="2" applyFont="1" applyBorder="1" applyAlignment="1">
      <alignment horizontal="center" vertical="center"/>
    </xf>
    <xf numFmtId="9" fontId="12" fillId="0" borderId="6" xfId="2" applyFont="1" applyBorder="1" applyAlignment="1">
      <alignment horizontal="center" vertical="center"/>
    </xf>
    <xf numFmtId="0" fontId="15" fillId="4" borderId="0" xfId="0" applyFont="1" applyFill="1" applyBorder="1" applyAlignment="1">
      <alignment horizontal="left"/>
    </xf>
    <xf numFmtId="0" fontId="0" fillId="9" borderId="0" xfId="0" applyFill="1"/>
    <xf numFmtId="0" fontId="10" fillId="9" borderId="0" xfId="3" applyFont="1" applyFill="1" applyAlignment="1">
      <alignment horizontal="center" vertical="center" textRotation="90"/>
    </xf>
    <xf numFmtId="0" fontId="10" fillId="9" borderId="0" xfId="0" applyFont="1" applyFill="1" applyAlignment="1">
      <alignment horizontal="center" vertical="center" textRotation="90"/>
    </xf>
    <xf numFmtId="0" fontId="0" fillId="9" borderId="0" xfId="0" applyFill="1" applyAlignment="1">
      <alignment wrapText="1"/>
    </xf>
    <xf numFmtId="0" fontId="10" fillId="9" borderId="0" xfId="3" applyFont="1" applyFill="1" applyAlignment="1">
      <alignment horizontal="center" vertical="center" textRotation="9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1B736B"/>
      <color rgb="FF5AD8CC"/>
      <color rgb="FFFFD9D9"/>
      <color rgb="FFFF9B9B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2">
                    <a:lumMod val="75000"/>
                  </a:schemeClr>
                </a:solidFill>
              </a:rPr>
              <a:t>Price and Delta </a:t>
            </a:r>
            <a:r>
              <a:rPr lang="ru-RU" baseline="0">
                <a:solidFill>
                  <a:schemeClr val="bg2">
                    <a:lumMod val="75000"/>
                  </a:schemeClr>
                </a:solidFill>
              </a:rPr>
              <a:t>(</a:t>
            </a:r>
            <a:r>
              <a:rPr lang="en-US" baseline="0">
                <a:solidFill>
                  <a:schemeClr val="bg2">
                    <a:lumMod val="75000"/>
                  </a:schemeClr>
                </a:solidFill>
              </a:rPr>
              <a:t>on Base-Asset price</a:t>
            </a:r>
            <a:r>
              <a:rPr lang="ru-RU" baseline="0">
                <a:solidFill>
                  <a:schemeClr val="bg2">
                    <a:lumMod val="75000"/>
                  </a:schemeClr>
                </a:solidFill>
              </a:rPr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40800201275557"/>
          <c:y val="0.10452041940353309"/>
          <c:w val="0.76291759767522993"/>
          <c:h val="0.69697523560850227"/>
        </c:manualLayout>
      </c:layout>
      <c:lineChart>
        <c:grouping val="standard"/>
        <c:varyColors val="0"/>
        <c:ser>
          <c:idx val="0"/>
          <c:order val="0"/>
          <c:tx>
            <c:strRef>
              <c:f>'European Options BSM in VBA'!$O$42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VBA'!$N$43:$N$63</c:f>
              <c:numCache>
                <c:formatCode>0</c:formatCode>
                <c:ptCount val="21"/>
                <c:pt idx="0">
                  <c:v>80000</c:v>
                </c:pt>
                <c:pt idx="1">
                  <c:v>82000</c:v>
                </c:pt>
                <c:pt idx="2">
                  <c:v>84000</c:v>
                </c:pt>
                <c:pt idx="3">
                  <c:v>86000</c:v>
                </c:pt>
                <c:pt idx="4">
                  <c:v>88000</c:v>
                </c:pt>
                <c:pt idx="5">
                  <c:v>90000</c:v>
                </c:pt>
                <c:pt idx="6">
                  <c:v>92000</c:v>
                </c:pt>
                <c:pt idx="7">
                  <c:v>94000</c:v>
                </c:pt>
                <c:pt idx="8">
                  <c:v>96000</c:v>
                </c:pt>
                <c:pt idx="9">
                  <c:v>98000</c:v>
                </c:pt>
                <c:pt idx="10">
                  <c:v>100000</c:v>
                </c:pt>
                <c:pt idx="11">
                  <c:v>102000</c:v>
                </c:pt>
                <c:pt idx="12">
                  <c:v>104000</c:v>
                </c:pt>
                <c:pt idx="13">
                  <c:v>106000</c:v>
                </c:pt>
                <c:pt idx="14">
                  <c:v>108000</c:v>
                </c:pt>
                <c:pt idx="15">
                  <c:v>110000.00000000001</c:v>
                </c:pt>
                <c:pt idx="16">
                  <c:v>112000.00000000001</c:v>
                </c:pt>
                <c:pt idx="17">
                  <c:v>114000.00000000001</c:v>
                </c:pt>
                <c:pt idx="18">
                  <c:v>115999.99999999999</c:v>
                </c:pt>
                <c:pt idx="19">
                  <c:v>118000</c:v>
                </c:pt>
                <c:pt idx="20">
                  <c:v>120000</c:v>
                </c:pt>
              </c:numCache>
            </c:numRef>
          </c:cat>
          <c:val>
            <c:numRef>
              <c:f>'European Options BSM in VBA'!$O$43:$O$63</c:f>
              <c:numCache>
                <c:formatCode>0</c:formatCode>
                <c:ptCount val="21"/>
                <c:pt idx="0">
                  <c:v>4.2475126051460279</c:v>
                </c:pt>
                <c:pt idx="1">
                  <c:v>12.211284390302353</c:v>
                </c:pt>
                <c:pt idx="2">
                  <c:v>31.469541721513224</c:v>
                </c:pt>
                <c:pt idx="3">
                  <c:v>73.349592202783697</c:v>
                </c:pt>
                <c:pt idx="4">
                  <c:v>155.92760120280946</c:v>
                </c:pt>
                <c:pt idx="5">
                  <c:v>304.71892714911883</c:v>
                </c:pt>
                <c:pt idx="6">
                  <c:v>551.54085601427323</c:v>
                </c:pt>
                <c:pt idx="7">
                  <c:v>931.20420465476491</c:v>
                </c:pt>
                <c:pt idx="8">
                  <c:v>1476.515793723207</c:v>
                </c:pt>
                <c:pt idx="9">
                  <c:v>2212.8471594237126</c:v>
                </c:pt>
                <c:pt idx="10">
                  <c:v>3153.8278565989021</c:v>
                </c:pt>
                <c:pt idx="11">
                  <c:v>4299.3795454332576</c:v>
                </c:pt>
                <c:pt idx="12">
                  <c:v>5636.4942300601397</c:v>
                </c:pt>
                <c:pt idx="13">
                  <c:v>7142.27463849778</c:v>
                </c:pt>
                <c:pt idx="14">
                  <c:v>8788.1733504095173</c:v>
                </c:pt>
                <c:pt idx="15">
                  <c:v>10544.256704683794</c:v>
                </c:pt>
                <c:pt idx="16">
                  <c:v>12382.605772283539</c:v>
                </c:pt>
                <c:pt idx="17">
                  <c:v>14279.436141737999</c:v>
                </c:pt>
                <c:pt idx="18">
                  <c:v>16215.95514697842</c:v>
                </c:pt>
                <c:pt idx="19">
                  <c:v>18178.251884293029</c:v>
                </c:pt>
                <c:pt idx="20">
                  <c:v>20156.609314700836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5-45F1-9400-A20FD244C304}"/>
            </c:ext>
          </c:extLst>
        </c:ser>
        <c:ser>
          <c:idx val="1"/>
          <c:order val="1"/>
          <c:tx>
            <c:strRef>
              <c:f>'European Options BSM in VBA'!$P$42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rgbClr val="FF9B9B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VBA'!$N$43:$N$63</c:f>
              <c:numCache>
                <c:formatCode>0</c:formatCode>
                <c:ptCount val="21"/>
                <c:pt idx="0">
                  <c:v>80000</c:v>
                </c:pt>
                <c:pt idx="1">
                  <c:v>82000</c:v>
                </c:pt>
                <c:pt idx="2">
                  <c:v>84000</c:v>
                </c:pt>
                <c:pt idx="3">
                  <c:v>86000</c:v>
                </c:pt>
                <c:pt idx="4">
                  <c:v>88000</c:v>
                </c:pt>
                <c:pt idx="5">
                  <c:v>90000</c:v>
                </c:pt>
                <c:pt idx="6">
                  <c:v>92000</c:v>
                </c:pt>
                <c:pt idx="7">
                  <c:v>94000</c:v>
                </c:pt>
                <c:pt idx="8">
                  <c:v>96000</c:v>
                </c:pt>
                <c:pt idx="9">
                  <c:v>98000</c:v>
                </c:pt>
                <c:pt idx="10">
                  <c:v>100000</c:v>
                </c:pt>
                <c:pt idx="11">
                  <c:v>102000</c:v>
                </c:pt>
                <c:pt idx="12">
                  <c:v>104000</c:v>
                </c:pt>
                <c:pt idx="13">
                  <c:v>106000</c:v>
                </c:pt>
                <c:pt idx="14">
                  <c:v>108000</c:v>
                </c:pt>
                <c:pt idx="15">
                  <c:v>110000.00000000001</c:v>
                </c:pt>
                <c:pt idx="16">
                  <c:v>112000.00000000001</c:v>
                </c:pt>
                <c:pt idx="17">
                  <c:v>114000.00000000001</c:v>
                </c:pt>
                <c:pt idx="18">
                  <c:v>115999.99999999999</c:v>
                </c:pt>
                <c:pt idx="19">
                  <c:v>118000</c:v>
                </c:pt>
                <c:pt idx="20">
                  <c:v>120000</c:v>
                </c:pt>
              </c:numCache>
            </c:numRef>
          </c:cat>
          <c:val>
            <c:numRef>
              <c:f>'European Options BSM in VBA'!$P$43:$P$63</c:f>
              <c:numCache>
                <c:formatCode>0</c:formatCode>
                <c:ptCount val="21"/>
                <c:pt idx="0">
                  <c:v>19872.827095654837</c:v>
                </c:pt>
                <c:pt idx="1">
                  <c:v>17880.79086744001</c:v>
                </c:pt>
                <c:pt idx="2">
                  <c:v>15900.049124771205</c:v>
                </c:pt>
                <c:pt idx="3">
                  <c:v>13941.929175252488</c:v>
                </c:pt>
                <c:pt idx="4">
                  <c:v>12024.507184252521</c:v>
                </c:pt>
                <c:pt idx="5">
                  <c:v>10173.298510198831</c:v>
                </c:pt>
                <c:pt idx="6">
                  <c:v>8420.1204390639759</c:v>
                </c:pt>
                <c:pt idx="7">
                  <c:v>6799.7837877044658</c:v>
                </c:pt>
                <c:pt idx="8">
                  <c:v>5345.0953767729006</c:v>
                </c:pt>
                <c:pt idx="9">
                  <c:v>4081.4267424734135</c:v>
                </c:pt>
                <c:pt idx="10">
                  <c:v>3022.4074396486103</c:v>
                </c:pt>
                <c:pt idx="11">
                  <c:v>2167.9591284829512</c:v>
                </c:pt>
                <c:pt idx="12">
                  <c:v>1505.0738131098406</c:v>
                </c:pt>
                <c:pt idx="13">
                  <c:v>1010.8542215474808</c:v>
                </c:pt>
                <c:pt idx="14">
                  <c:v>656.75293345921273</c:v>
                </c:pt>
                <c:pt idx="15">
                  <c:v>412.83628773346936</c:v>
                </c:pt>
                <c:pt idx="16">
                  <c:v>251.18535533321483</c:v>
                </c:pt>
                <c:pt idx="17">
                  <c:v>148.01572478768776</c:v>
                </c:pt>
                <c:pt idx="18">
                  <c:v>84.534730028133254</c:v>
                </c:pt>
                <c:pt idx="19">
                  <c:v>46.831467342731457</c:v>
                </c:pt>
                <c:pt idx="20">
                  <c:v>25.188897750520255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C5-45F1-9400-A20FD244C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06624"/>
        <c:axId val="57108736"/>
      </c:lineChart>
      <c:lineChart>
        <c:grouping val="standard"/>
        <c:varyColors val="0"/>
        <c:ser>
          <c:idx val="3"/>
          <c:order val="2"/>
          <c:tx>
            <c:strRef>
              <c:f>'European Options BSM in VBA'!$Q$42</c:f>
              <c:strCache>
                <c:ptCount val="1"/>
                <c:pt idx="0">
                  <c:v>∆Call</c:v>
                </c:pt>
              </c:strCache>
            </c:strRef>
          </c:tx>
          <c:spPr>
            <a:ln w="25400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'European Options BSM in VBA'!$N$43:$N$63</c:f>
              <c:numCache>
                <c:formatCode>0</c:formatCode>
                <c:ptCount val="21"/>
                <c:pt idx="0">
                  <c:v>80000</c:v>
                </c:pt>
                <c:pt idx="1">
                  <c:v>82000</c:v>
                </c:pt>
                <c:pt idx="2">
                  <c:v>84000</c:v>
                </c:pt>
                <c:pt idx="3">
                  <c:v>86000</c:v>
                </c:pt>
                <c:pt idx="4">
                  <c:v>88000</c:v>
                </c:pt>
                <c:pt idx="5">
                  <c:v>90000</c:v>
                </c:pt>
                <c:pt idx="6">
                  <c:v>92000</c:v>
                </c:pt>
                <c:pt idx="7">
                  <c:v>94000</c:v>
                </c:pt>
                <c:pt idx="8">
                  <c:v>96000</c:v>
                </c:pt>
                <c:pt idx="9">
                  <c:v>98000</c:v>
                </c:pt>
                <c:pt idx="10">
                  <c:v>100000</c:v>
                </c:pt>
                <c:pt idx="11">
                  <c:v>102000</c:v>
                </c:pt>
                <c:pt idx="12">
                  <c:v>104000</c:v>
                </c:pt>
                <c:pt idx="13">
                  <c:v>106000</c:v>
                </c:pt>
                <c:pt idx="14">
                  <c:v>108000</c:v>
                </c:pt>
                <c:pt idx="15">
                  <c:v>110000.00000000001</c:v>
                </c:pt>
                <c:pt idx="16">
                  <c:v>112000.00000000001</c:v>
                </c:pt>
                <c:pt idx="17">
                  <c:v>114000.00000000001</c:v>
                </c:pt>
                <c:pt idx="18">
                  <c:v>115999.99999999999</c:v>
                </c:pt>
                <c:pt idx="19">
                  <c:v>118000</c:v>
                </c:pt>
                <c:pt idx="20">
                  <c:v>120000</c:v>
                </c:pt>
              </c:numCache>
            </c:numRef>
          </c:cat>
          <c:val>
            <c:numRef>
              <c:f>'European Options BSM in VBA'!$Q$43:$Q$63</c:f>
              <c:numCache>
                <c:formatCode>0.00</c:formatCode>
                <c:ptCount val="21"/>
                <c:pt idx="0">
                  <c:v>2.365517666684849E-3</c:v>
                </c:pt>
                <c:pt idx="1">
                  <c:v>6.1044629035444586E-3</c:v>
                </c:pt>
                <c:pt idx="2">
                  <c:v>1.4082597453325969E-2</c:v>
                </c:pt>
                <c:pt idx="3">
                  <c:v>2.9296953696582025E-2</c:v>
                </c:pt>
                <c:pt idx="4">
                  <c:v>5.5416325112054535E-2</c:v>
                </c:pt>
                <c:pt idx="5">
                  <c:v>9.6054594147103281E-2</c:v>
                </c:pt>
                <c:pt idx="6">
                  <c:v>0.15371148016820249</c:v>
                </c:pt>
                <c:pt idx="7">
                  <c:v>0.22873302862155279</c:v>
                </c:pt>
                <c:pt idx="8">
                  <c:v>0.31873029449843271</c:v>
                </c:pt>
                <c:pt idx="9">
                  <c:v>0.4187537433312552</c:v>
                </c:pt>
                <c:pt idx="10">
                  <c:v>0.52221329720047227</c:v>
                </c:pt>
                <c:pt idx="11">
                  <c:v>0.62222768641024029</c:v>
                </c:pt>
                <c:pt idx="12">
                  <c:v>0.71294208458017749</c:v>
                </c:pt>
                <c:pt idx="13">
                  <c:v>0.79042274679097746</c:v>
                </c:pt>
                <c:pt idx="14">
                  <c:v>0.85295266423249172</c:v>
                </c:pt>
                <c:pt idx="15">
                  <c:v>0.90078650586188513</c:v>
                </c:pt>
                <c:pt idx="16">
                  <c:v>0.93557377436167022</c:v>
                </c:pt>
                <c:pt idx="17">
                  <c:v>0.95969194702180671</c:v>
                </c:pt>
                <c:pt idx="18">
                  <c:v>0.97567397559300906</c:v>
                </c:pt>
                <c:pt idx="19">
                  <c:v>0.98582094353386951</c:v>
                </c:pt>
                <c:pt idx="20">
                  <c:v>0.99200744930790508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C5-45F1-9400-A20FD244C304}"/>
            </c:ext>
          </c:extLst>
        </c:ser>
        <c:ser>
          <c:idx val="4"/>
          <c:order val="3"/>
          <c:tx>
            <c:strRef>
              <c:f>'European Options BSM in VBA'!$R$42</c:f>
              <c:strCache>
                <c:ptCount val="1"/>
                <c:pt idx="0">
                  <c:v>–∆Put</c:v>
                </c:pt>
              </c:strCache>
            </c:strRef>
          </c:tx>
          <c:spPr>
            <a:ln w="25400" cap="rnd">
              <a:solidFill>
                <a:srgbClr val="FF9B9B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'European Options BSM in VBA'!$N$43:$N$63</c:f>
              <c:numCache>
                <c:formatCode>0</c:formatCode>
                <c:ptCount val="21"/>
                <c:pt idx="0">
                  <c:v>80000</c:v>
                </c:pt>
                <c:pt idx="1">
                  <c:v>82000</c:v>
                </c:pt>
                <c:pt idx="2">
                  <c:v>84000</c:v>
                </c:pt>
                <c:pt idx="3">
                  <c:v>86000</c:v>
                </c:pt>
                <c:pt idx="4">
                  <c:v>88000</c:v>
                </c:pt>
                <c:pt idx="5">
                  <c:v>90000</c:v>
                </c:pt>
                <c:pt idx="6">
                  <c:v>92000</c:v>
                </c:pt>
                <c:pt idx="7">
                  <c:v>94000</c:v>
                </c:pt>
                <c:pt idx="8">
                  <c:v>96000</c:v>
                </c:pt>
                <c:pt idx="9">
                  <c:v>98000</c:v>
                </c:pt>
                <c:pt idx="10">
                  <c:v>100000</c:v>
                </c:pt>
                <c:pt idx="11">
                  <c:v>102000</c:v>
                </c:pt>
                <c:pt idx="12">
                  <c:v>104000</c:v>
                </c:pt>
                <c:pt idx="13">
                  <c:v>106000</c:v>
                </c:pt>
                <c:pt idx="14">
                  <c:v>108000</c:v>
                </c:pt>
                <c:pt idx="15">
                  <c:v>110000.00000000001</c:v>
                </c:pt>
                <c:pt idx="16">
                  <c:v>112000.00000000001</c:v>
                </c:pt>
                <c:pt idx="17">
                  <c:v>114000.00000000001</c:v>
                </c:pt>
                <c:pt idx="18">
                  <c:v>115999.99999999999</c:v>
                </c:pt>
                <c:pt idx="19">
                  <c:v>118000</c:v>
                </c:pt>
                <c:pt idx="20">
                  <c:v>120000</c:v>
                </c:pt>
              </c:numCache>
            </c:numRef>
          </c:cat>
          <c:val>
            <c:numRef>
              <c:f>'European Options BSM in VBA'!$R$43:$R$63</c:f>
              <c:numCache>
                <c:formatCode>0.00</c:formatCode>
                <c:ptCount val="21"/>
                <c:pt idx="0">
                  <c:v>0.9976344823333152</c:v>
                </c:pt>
                <c:pt idx="1">
                  <c:v>0.99389553709645551</c:v>
                </c:pt>
                <c:pt idx="2">
                  <c:v>0.98591740254667404</c:v>
                </c:pt>
                <c:pt idx="3">
                  <c:v>0.97070304630341797</c:v>
                </c:pt>
                <c:pt idx="4">
                  <c:v>0.94458367488794548</c:v>
                </c:pt>
                <c:pt idx="5">
                  <c:v>0.90394540585289673</c:v>
                </c:pt>
                <c:pt idx="6">
                  <c:v>0.84628851983179754</c:v>
                </c:pt>
                <c:pt idx="7">
                  <c:v>0.77126697137844724</c:v>
                </c:pt>
                <c:pt idx="8">
                  <c:v>0.68126970550156729</c:v>
                </c:pt>
                <c:pt idx="9">
                  <c:v>0.58124625666874485</c:v>
                </c:pt>
                <c:pt idx="10">
                  <c:v>0.47778670279952773</c:v>
                </c:pt>
                <c:pt idx="11">
                  <c:v>0.37777231358975971</c:v>
                </c:pt>
                <c:pt idx="12">
                  <c:v>0.28705791541982251</c:v>
                </c:pt>
                <c:pt idx="13">
                  <c:v>0.20957725320902254</c:v>
                </c:pt>
                <c:pt idx="14">
                  <c:v>0.14704733576750828</c:v>
                </c:pt>
                <c:pt idx="15">
                  <c:v>9.9213494138114866E-2</c:v>
                </c:pt>
                <c:pt idx="16">
                  <c:v>6.4426225638329782E-2</c:v>
                </c:pt>
                <c:pt idx="17">
                  <c:v>4.0308052978193287E-2</c:v>
                </c:pt>
                <c:pt idx="18">
                  <c:v>2.4326024406990943E-2</c:v>
                </c:pt>
                <c:pt idx="19">
                  <c:v>1.4179056466130491E-2</c:v>
                </c:pt>
                <c:pt idx="20">
                  <c:v>7.9925506920949241E-3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C5-45F1-9400-A20FD244C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45632"/>
        <c:axId val="57109312"/>
      </c:lineChart>
      <c:catAx>
        <c:axId val="8290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108736"/>
        <c:crosses val="autoZero"/>
        <c:auto val="1"/>
        <c:lblAlgn val="ctr"/>
        <c:lblOffset val="100"/>
        <c:noMultiLvlLbl val="0"/>
      </c:catAx>
      <c:valAx>
        <c:axId val="57108736"/>
        <c:scaling>
          <c:orientation val="minMax"/>
          <c:min val="0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i="1" baseline="0"/>
                  <a:t>Price</a:t>
                </a:r>
                <a:endParaRPr lang="ru-RU" sz="800" i="1" baseline="0"/>
              </a:p>
            </c:rich>
          </c:tx>
          <c:layout>
            <c:manualLayout>
              <c:xMode val="edge"/>
              <c:yMode val="edge"/>
              <c:x val="8.1325098124202369E-2"/>
              <c:y val="2.203647620970455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in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906624"/>
        <c:crosses val="autoZero"/>
        <c:crossBetween val="between"/>
      </c:valAx>
      <c:valAx>
        <c:axId val="57109312"/>
        <c:scaling>
          <c:orientation val="minMax"/>
        </c:scaling>
        <c:delete val="0"/>
        <c:axPos val="r"/>
        <c:minorGridlines>
          <c:spPr>
            <a:ln w="317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i="1" baseline="0"/>
                  <a:t>Delta</a:t>
                </a:r>
                <a:endParaRPr lang="ru-RU" sz="800" i="1" baseline="0"/>
              </a:p>
            </c:rich>
          </c:tx>
          <c:layout>
            <c:manualLayout>
              <c:xMode val="edge"/>
              <c:yMode val="edge"/>
              <c:x val="0.85547689566327145"/>
              <c:y val="2.71446139162674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in"/>
        <c:tickLblPos val="high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445632"/>
        <c:crosses val="max"/>
        <c:crossBetween val="between"/>
      </c:valAx>
      <c:catAx>
        <c:axId val="10944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7109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outerShdw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tx1">
        <a:lumMod val="95000"/>
        <a:lumOff val="5000"/>
      </a:schemeClr>
    </a:solidFill>
    <a:ln w="6350" cap="flat" cmpd="sng" algn="ctr">
      <a:solidFill>
        <a:schemeClr val="tx1">
          <a:lumMod val="85000"/>
          <a:lumOff val="15000"/>
        </a:schemeClr>
      </a:solidFill>
      <a:prstDash val="dash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2">
                    <a:lumMod val="75000"/>
                  </a:schemeClr>
                </a:solidFill>
              </a:rPr>
              <a:t>Vega and Theta </a:t>
            </a:r>
            <a:r>
              <a:rPr lang="ru-RU" sz="1400" b="0" i="0" u="none" strike="noStrike" baseline="0">
                <a:effectLst/>
              </a:rPr>
              <a:t>(</a:t>
            </a:r>
            <a:r>
              <a:rPr lang="en-US" sz="1400" b="0" i="0" u="none" strike="noStrike" baseline="0">
                <a:effectLst/>
              </a:rPr>
              <a:t>on Base-Asset price</a:t>
            </a:r>
            <a:r>
              <a:rPr lang="ru-RU" sz="1400" b="0" i="0" u="none" strike="noStrike" baseline="0">
                <a:effectLst/>
              </a:rPr>
              <a:t>)</a:t>
            </a:r>
            <a:endParaRPr lang="ru-RU" baseline="0">
              <a:solidFill>
                <a:schemeClr val="bg2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0.1687871310451769"/>
          <c:y val="2.740320398490649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18256179516022"/>
          <c:y val="0.11585005349832875"/>
          <c:w val="0.75349981252343456"/>
          <c:h val="0.78432832259603913"/>
        </c:manualLayout>
      </c:layout>
      <c:lineChart>
        <c:grouping val="standard"/>
        <c:varyColors val="0"/>
        <c:ser>
          <c:idx val="1"/>
          <c:order val="0"/>
          <c:tx>
            <c:strRef>
              <c:f>'European Options BSM in VBA'!$S$42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VBA'!$N$43:$N$63</c:f>
              <c:numCache>
                <c:formatCode>0</c:formatCode>
                <c:ptCount val="21"/>
                <c:pt idx="0">
                  <c:v>80000</c:v>
                </c:pt>
                <c:pt idx="1">
                  <c:v>82000</c:v>
                </c:pt>
                <c:pt idx="2">
                  <c:v>84000</c:v>
                </c:pt>
                <c:pt idx="3">
                  <c:v>86000</c:v>
                </c:pt>
                <c:pt idx="4">
                  <c:v>88000</c:v>
                </c:pt>
                <c:pt idx="5">
                  <c:v>90000</c:v>
                </c:pt>
                <c:pt idx="6">
                  <c:v>92000</c:v>
                </c:pt>
                <c:pt idx="7">
                  <c:v>94000</c:v>
                </c:pt>
                <c:pt idx="8">
                  <c:v>96000</c:v>
                </c:pt>
                <c:pt idx="9">
                  <c:v>98000</c:v>
                </c:pt>
                <c:pt idx="10">
                  <c:v>100000</c:v>
                </c:pt>
                <c:pt idx="11">
                  <c:v>102000</c:v>
                </c:pt>
                <c:pt idx="12">
                  <c:v>104000</c:v>
                </c:pt>
                <c:pt idx="13">
                  <c:v>106000</c:v>
                </c:pt>
                <c:pt idx="14">
                  <c:v>108000</c:v>
                </c:pt>
                <c:pt idx="15">
                  <c:v>110000.00000000001</c:v>
                </c:pt>
                <c:pt idx="16">
                  <c:v>112000.00000000001</c:v>
                </c:pt>
                <c:pt idx="17">
                  <c:v>114000.00000000001</c:v>
                </c:pt>
                <c:pt idx="18">
                  <c:v>115999.99999999999</c:v>
                </c:pt>
                <c:pt idx="19">
                  <c:v>118000</c:v>
                </c:pt>
                <c:pt idx="20">
                  <c:v>120000</c:v>
                </c:pt>
              </c:numCache>
            </c:numRef>
          </c:cat>
          <c:val>
            <c:numRef>
              <c:f>'European Options BSM in VBA'!$S$43:$S$63</c:f>
              <c:numCache>
                <c:formatCode>0</c:formatCode>
                <c:ptCount val="21"/>
                <c:pt idx="0">
                  <c:v>1.2364885017083298</c:v>
                </c:pt>
                <c:pt idx="1">
                  <c:v>2.9641038751941546</c:v>
                </c:pt>
                <c:pt idx="2">
                  <c:v>6.3081687096105625</c:v>
                </c:pt>
                <c:pt idx="3">
                  <c:v>12.012740035357144</c:v>
                </c:pt>
                <c:pt idx="4">
                  <c:v>20.618215130070549</c:v>
                </c:pt>
                <c:pt idx="5">
                  <c:v>32.108409873531322</c:v>
                </c:pt>
                <c:pt idx="6">
                  <c:v>45.646336752722334</c:v>
                </c:pt>
                <c:pt idx="7">
                  <c:v>59.575436668382025</c:v>
                </c:pt>
                <c:pt idx="8">
                  <c:v>71.758124381337623</c:v>
                </c:pt>
                <c:pt idx="9">
                  <c:v>80.152434995114945</c:v>
                </c:pt>
                <c:pt idx="10">
                  <c:v>83.396860777276459</c:v>
                </c:pt>
                <c:pt idx="11">
                  <c:v>81.16627021597273</c:v>
                </c:pt>
                <c:pt idx="12">
                  <c:v>74.177508773387729</c:v>
                </c:pt>
                <c:pt idx="13">
                  <c:v>63.885284876171774</c:v>
                </c:pt>
                <c:pt idx="14">
                  <c:v>52.025435524392094</c:v>
                </c:pt>
                <c:pt idx="15">
                  <c:v>40.185867506264387</c:v>
                </c:pt>
                <c:pt idx="16">
                  <c:v>29.528421979090535</c:v>
                </c:pt>
                <c:pt idx="17">
                  <c:v>20.696659810979142</c:v>
                </c:pt>
                <c:pt idx="18">
                  <c:v>13.872705368480299</c:v>
                </c:pt>
                <c:pt idx="19">
                  <c:v>8.9137511575532571</c:v>
                </c:pt>
                <c:pt idx="20">
                  <c:v>5.5026394474582085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51-4CF6-AB74-06A9E47AA87F}"/>
            </c:ext>
          </c:extLst>
        </c:ser>
        <c:ser>
          <c:idx val="3"/>
          <c:order val="1"/>
          <c:tx>
            <c:strRef>
              <c:f>'European Options BSM in VBA'!$T$42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VBA'!$N$43:$N$63</c:f>
              <c:numCache>
                <c:formatCode>0</c:formatCode>
                <c:ptCount val="21"/>
                <c:pt idx="0">
                  <c:v>80000</c:v>
                </c:pt>
                <c:pt idx="1">
                  <c:v>82000</c:v>
                </c:pt>
                <c:pt idx="2">
                  <c:v>84000</c:v>
                </c:pt>
                <c:pt idx="3">
                  <c:v>86000</c:v>
                </c:pt>
                <c:pt idx="4">
                  <c:v>88000</c:v>
                </c:pt>
                <c:pt idx="5">
                  <c:v>90000</c:v>
                </c:pt>
                <c:pt idx="6">
                  <c:v>92000</c:v>
                </c:pt>
                <c:pt idx="7">
                  <c:v>94000</c:v>
                </c:pt>
                <c:pt idx="8">
                  <c:v>96000</c:v>
                </c:pt>
                <c:pt idx="9">
                  <c:v>98000</c:v>
                </c:pt>
                <c:pt idx="10">
                  <c:v>100000</c:v>
                </c:pt>
                <c:pt idx="11">
                  <c:v>102000</c:v>
                </c:pt>
                <c:pt idx="12">
                  <c:v>104000</c:v>
                </c:pt>
                <c:pt idx="13">
                  <c:v>106000</c:v>
                </c:pt>
                <c:pt idx="14">
                  <c:v>108000</c:v>
                </c:pt>
                <c:pt idx="15">
                  <c:v>110000.00000000001</c:v>
                </c:pt>
                <c:pt idx="16">
                  <c:v>112000.00000000001</c:v>
                </c:pt>
                <c:pt idx="17">
                  <c:v>114000.00000000001</c:v>
                </c:pt>
                <c:pt idx="18">
                  <c:v>115999.99999999999</c:v>
                </c:pt>
                <c:pt idx="19">
                  <c:v>118000</c:v>
                </c:pt>
                <c:pt idx="20">
                  <c:v>120000</c:v>
                </c:pt>
              </c:numCache>
            </c:numRef>
          </c:cat>
          <c:val>
            <c:numRef>
              <c:f>'European Options BSM in VBA'!$T$43:$T$63</c:f>
              <c:numCache>
                <c:formatCode>0</c:formatCode>
                <c:ptCount val="21"/>
                <c:pt idx="0">
                  <c:v>-1.4296898301002565</c:v>
                </c:pt>
                <c:pt idx="1">
                  <c:v>-3.4272451056932414</c:v>
                </c:pt>
                <c:pt idx="2">
                  <c:v>-7.2938200704872136</c:v>
                </c:pt>
                <c:pt idx="3">
                  <c:v>-13.889730665881698</c:v>
                </c:pt>
                <c:pt idx="4">
                  <c:v>-23.839811244144073</c:v>
                </c:pt>
                <c:pt idx="5">
                  <c:v>-37.125348916270589</c:v>
                </c:pt>
                <c:pt idx="6">
                  <c:v>-52.778576870335201</c:v>
                </c:pt>
                <c:pt idx="7">
                  <c:v>-68.884098647816714</c:v>
                </c:pt>
                <c:pt idx="8">
                  <c:v>-82.970331315921626</c:v>
                </c:pt>
                <c:pt idx="9">
                  <c:v>-92.676252963101675</c:v>
                </c:pt>
                <c:pt idx="10">
                  <c:v>-96.427620273725907</c:v>
                </c:pt>
                <c:pt idx="11">
                  <c:v>-93.848499937218477</c:v>
                </c:pt>
                <c:pt idx="12">
                  <c:v>-85.767744519229552</c:v>
                </c:pt>
                <c:pt idx="13">
                  <c:v>-73.867360638073606</c:v>
                </c:pt>
                <c:pt idx="14">
                  <c:v>-60.154409825078361</c:v>
                </c:pt>
                <c:pt idx="15">
                  <c:v>-46.464909304118208</c:v>
                </c:pt>
                <c:pt idx="16">
                  <c:v>-34.142237913323441</c:v>
                </c:pt>
                <c:pt idx="17">
                  <c:v>-23.930512906444637</c:v>
                </c:pt>
                <c:pt idx="18">
                  <c:v>-16.040315582305343</c:v>
                </c:pt>
                <c:pt idx="19">
                  <c:v>-10.306524775920954</c:v>
                </c:pt>
                <c:pt idx="20">
                  <c:v>-6.3624268611235539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51-4CF6-AB74-06A9E47AA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600960"/>
        <c:axId val="57111616"/>
        <c:extLst/>
      </c:lineChart>
      <c:catAx>
        <c:axId val="8260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111616"/>
        <c:crosses val="autoZero"/>
        <c:auto val="1"/>
        <c:lblAlgn val="ctr"/>
        <c:lblOffset val="100"/>
        <c:noMultiLvlLbl val="0"/>
      </c:catAx>
      <c:valAx>
        <c:axId val="5711161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00960"/>
        <c:crosses val="autoZero"/>
        <c:crossBetween val="between"/>
      </c:valAx>
      <c:spPr>
        <a:noFill/>
        <a:ln>
          <a:noFill/>
        </a:ln>
        <a:effectLst>
          <a:outerShdw dir="5400000" algn="ctr" rotWithShape="0">
            <a:srgbClr val="000000">
              <a:alpha val="43137"/>
            </a:srgbClr>
          </a:outerShdw>
        </a:effectLst>
      </c:spPr>
    </c:plotArea>
    <c:legend>
      <c:legendPos val="b"/>
      <c:layout>
        <c:manualLayout>
          <c:xMode val="edge"/>
          <c:yMode val="edge"/>
          <c:x val="0.34136646550953087"/>
          <c:y val="0.89648380229502855"/>
          <c:w val="0.31726706898093832"/>
          <c:h val="8.78912041128592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tx1">
        <a:lumMod val="95000"/>
        <a:lumOff val="5000"/>
      </a:schemeClr>
    </a:solidFill>
    <a:ln w="6350" cap="flat" cmpd="sng" algn="ctr">
      <a:solidFill>
        <a:schemeClr val="tx1">
          <a:lumMod val="15000"/>
          <a:lumOff val="85000"/>
        </a:schemeClr>
      </a:solidFill>
      <a:prstDash val="dash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Price and Delta </a:t>
            </a:r>
            <a:r>
              <a:rPr lang="ru-RU" sz="1400" b="0" i="0" baseline="0">
                <a:effectLst/>
              </a:rPr>
              <a:t>(</a:t>
            </a:r>
            <a:r>
              <a:rPr lang="en-US" sz="1400" b="0" i="0" baseline="0">
                <a:effectLst/>
              </a:rPr>
              <a:t>on Volatility</a:t>
            </a:r>
            <a:r>
              <a:rPr lang="ru-RU" sz="1400" b="0" i="0" baseline="0">
                <a:effectLst/>
              </a:rPr>
              <a:t>)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8254600064755686"/>
          <c:y val="1.2232412956629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7242748502591028E-2"/>
          <c:y val="8.1795750082575086E-2"/>
          <c:w val="0.77808264351571432"/>
          <c:h val="0.78451090648516209"/>
        </c:manualLayout>
      </c:layout>
      <c:lineChart>
        <c:grouping val="standard"/>
        <c:varyColors val="0"/>
        <c:ser>
          <c:idx val="0"/>
          <c:order val="0"/>
          <c:tx>
            <c:strRef>
              <c:f>'European Options BSM in VBA'!$D$42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VBA'!$D$43:$D$63</c:f>
              <c:numCache>
                <c:formatCode>0</c:formatCode>
                <c:ptCount val="21"/>
                <c:pt idx="0">
                  <c:v>125.94810774584766</c:v>
                </c:pt>
                <c:pt idx="1">
                  <c:v>193.3963815360712</c:v>
                </c:pt>
                <c:pt idx="2">
                  <c:v>273.12121390582433</c:v>
                </c:pt>
                <c:pt idx="3">
                  <c:v>363.34993913894505</c:v>
                </c:pt>
                <c:pt idx="4">
                  <c:v>462.48484749581621</c:v>
                </c:pt>
                <c:pt idx="5">
                  <c:v>569.15320393337606</c:v>
                </c:pt>
                <c:pt idx="6">
                  <c:v>682.20216071582763</c:v>
                </c:pt>
                <c:pt idx="7">
                  <c:v>800.67335106043174</c:v>
                </c:pt>
                <c:pt idx="8">
                  <c:v>923.77274306869367</c:v>
                </c:pt>
                <c:pt idx="9">
                  <c:v>1050.8421201122037</c:v>
                </c:pt>
                <c:pt idx="10">
                  <c:v>1181.3343559666464</c:v>
                </c:pt>
                <c:pt idx="11">
                  <c:v>1314.7928436581242</c:v>
                </c:pt>
                <c:pt idx="12">
                  <c:v>1450.8347282699906</c:v>
                </c:pt>
                <c:pt idx="13">
                  <c:v>1589.1373750715356</c:v>
                </c:pt>
                <c:pt idx="14">
                  <c:v>1729.4274915647984</c:v>
                </c:pt>
                <c:pt idx="15">
                  <c:v>1871.4723864425432</c:v>
                </c:pt>
                <c:pt idx="16">
                  <c:v>2015.0729333699237</c:v>
                </c:pt>
                <c:pt idx="17">
                  <c:v>2160.0578896691441</c:v>
                </c:pt>
                <c:pt idx="18">
                  <c:v>2306.2792911957295</c:v>
                </c:pt>
                <c:pt idx="19">
                  <c:v>2453.6087032791547</c:v>
                </c:pt>
                <c:pt idx="20">
                  <c:v>2601.9341544981253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35-4304-9E27-3642E726D017}"/>
            </c:ext>
          </c:extLst>
        </c:ser>
        <c:ser>
          <c:idx val="1"/>
          <c:order val="1"/>
          <c:tx>
            <c:strRef>
              <c:f>'European Options BSM in VBA'!$E$42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rgbClr val="FF9B9B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VBA'!$E$43:$E$63</c:f>
              <c:numCache>
                <c:formatCode>0</c:formatCode>
                <c:ptCount val="21"/>
                <c:pt idx="0">
                  <c:v>4994.5276907955413</c:v>
                </c:pt>
                <c:pt idx="1">
                  <c:v>5061.9759645857703</c:v>
                </c:pt>
                <c:pt idx="2">
                  <c:v>5141.700796955527</c:v>
                </c:pt>
                <c:pt idx="3">
                  <c:v>5231.9295221886423</c:v>
                </c:pt>
                <c:pt idx="4">
                  <c:v>5331.0644305455207</c:v>
                </c:pt>
                <c:pt idx="5">
                  <c:v>5437.7327869830915</c:v>
                </c:pt>
                <c:pt idx="6">
                  <c:v>5550.7817437655176</c:v>
                </c:pt>
                <c:pt idx="7">
                  <c:v>5669.2529341101326</c:v>
                </c:pt>
                <c:pt idx="8">
                  <c:v>5792.3523261184018</c:v>
                </c:pt>
                <c:pt idx="9">
                  <c:v>5919.4217031619046</c:v>
                </c:pt>
                <c:pt idx="10">
                  <c:v>6049.9139390163473</c:v>
                </c:pt>
                <c:pt idx="11">
                  <c:v>6183.3724267078214</c:v>
                </c:pt>
                <c:pt idx="12">
                  <c:v>6319.4143113196915</c:v>
                </c:pt>
                <c:pt idx="13">
                  <c:v>6457.7169581212365</c:v>
                </c:pt>
                <c:pt idx="14">
                  <c:v>6598.0070746144993</c:v>
                </c:pt>
                <c:pt idx="15">
                  <c:v>6740.0519694922405</c:v>
                </c:pt>
                <c:pt idx="16">
                  <c:v>6883.6525164196282</c:v>
                </c:pt>
                <c:pt idx="17">
                  <c:v>7028.6374727188377</c:v>
                </c:pt>
                <c:pt idx="18">
                  <c:v>7174.8588742454303</c:v>
                </c:pt>
                <c:pt idx="19">
                  <c:v>7322.1882863288483</c:v>
                </c:pt>
                <c:pt idx="20">
                  <c:v>7470.5137375478298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35-4304-9E27-3642E726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00448"/>
        <c:axId val="57113920"/>
        <c:extLst/>
      </c:lineChart>
      <c:lineChart>
        <c:grouping val="standard"/>
        <c:varyColors val="0"/>
        <c:ser>
          <c:idx val="3"/>
          <c:order val="2"/>
          <c:tx>
            <c:strRef>
              <c:f>'European Options BSM in VBA'!$F$42</c:f>
              <c:strCache>
                <c:ptCount val="1"/>
                <c:pt idx="0">
                  <c:v>∆Call</c:v>
                </c:pt>
              </c:strCache>
            </c:strRef>
          </c:tx>
          <c:spPr>
            <a:ln w="25400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VBA'!$F$43:$F$63</c:f>
              <c:numCache>
                <c:formatCode>0.00</c:formatCode>
                <c:ptCount val="21"/>
                <c:pt idx="0">
                  <c:v>8.2817087389646923E-2</c:v>
                </c:pt>
                <c:pt idx="1">
                  <c:v>0.10814220395368415</c:v>
                </c:pt>
                <c:pt idx="2">
                  <c:v>0.13248483903839339</c:v>
                </c:pt>
                <c:pt idx="3">
                  <c:v>0.15534289384579431</c:v>
                </c:pt>
                <c:pt idx="4">
                  <c:v>0.17653227757540321</c:v>
                </c:pt>
                <c:pt idx="5">
                  <c:v>0.19604330159506053</c:v>
                </c:pt>
                <c:pt idx="6">
                  <c:v>0.21395503908788194</c:v>
                </c:pt>
                <c:pt idx="7">
                  <c:v>0.23038666180576503</c:v>
                </c:pt>
                <c:pt idx="8">
                  <c:v>0.24547075985730071</c:v>
                </c:pt>
                <c:pt idx="9">
                  <c:v>0.25933929563299551</c:v>
                </c:pt>
                <c:pt idx="10">
                  <c:v>0.27211667221336588</c:v>
                </c:pt>
                <c:pt idx="11">
                  <c:v>0.28391673656345273</c:v>
                </c:pt>
                <c:pt idx="12">
                  <c:v>0.29484190822057771</c:v>
                </c:pt>
                <c:pt idx="13">
                  <c:v>0.30498341238166138</c:v>
                </c:pt>
                <c:pt idx="14">
                  <c:v>0.31442204631176857</c:v>
                </c:pt>
                <c:pt idx="15">
                  <c:v>0.3232291641572077</c:v>
                </c:pt>
                <c:pt idx="16">
                  <c:v>0.33146771073335146</c:v>
                </c:pt>
                <c:pt idx="17">
                  <c:v>0.33919321714992834</c:v>
                </c:pt>
                <c:pt idx="18">
                  <c:v>0.34645471729379651</c:v>
                </c:pt>
                <c:pt idx="19">
                  <c:v>0.35329556966513442</c:v>
                </c:pt>
                <c:pt idx="20">
                  <c:v>0.35975418271593629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35-4304-9E27-3642E726D017}"/>
            </c:ext>
          </c:extLst>
        </c:ser>
        <c:ser>
          <c:idx val="4"/>
          <c:order val="3"/>
          <c:tx>
            <c:strRef>
              <c:f>'European Options BSM in VBA'!$G$42</c:f>
              <c:strCache>
                <c:ptCount val="1"/>
                <c:pt idx="0">
                  <c:v>–∆Put</c:v>
                </c:pt>
              </c:strCache>
            </c:strRef>
          </c:tx>
          <c:spPr>
            <a:ln w="25400" cap="rnd">
              <a:solidFill>
                <a:srgbClr val="FF9B9B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VBA'!$G$43:$G$63</c:f>
              <c:numCache>
                <c:formatCode>0.00</c:formatCode>
                <c:ptCount val="21"/>
                <c:pt idx="0">
                  <c:v>0.91718291261035312</c:v>
                </c:pt>
                <c:pt idx="1">
                  <c:v>0.89185779604631588</c:v>
                </c:pt>
                <c:pt idx="2">
                  <c:v>0.86751516096160664</c:v>
                </c:pt>
                <c:pt idx="3">
                  <c:v>0.84465710615420564</c:v>
                </c:pt>
                <c:pt idx="4">
                  <c:v>0.82346772242459676</c:v>
                </c:pt>
                <c:pt idx="5">
                  <c:v>0.80395669840493944</c:v>
                </c:pt>
                <c:pt idx="6">
                  <c:v>0.78604496091211806</c:v>
                </c:pt>
                <c:pt idx="7">
                  <c:v>0.76961333819423494</c:v>
                </c:pt>
                <c:pt idx="8">
                  <c:v>0.75452924014269929</c:v>
                </c:pt>
                <c:pt idx="9">
                  <c:v>0.74066070436700449</c:v>
                </c:pt>
                <c:pt idx="10">
                  <c:v>0.72788332778663412</c:v>
                </c:pt>
                <c:pt idx="11">
                  <c:v>0.71608326343654727</c:v>
                </c:pt>
                <c:pt idx="12">
                  <c:v>0.70515809177942224</c:v>
                </c:pt>
                <c:pt idx="13">
                  <c:v>0.69501658761833862</c:v>
                </c:pt>
                <c:pt idx="14">
                  <c:v>0.68557795368823138</c:v>
                </c:pt>
                <c:pt idx="15">
                  <c:v>0.6767708358427923</c:v>
                </c:pt>
                <c:pt idx="16">
                  <c:v>0.66853228926664854</c:v>
                </c:pt>
                <c:pt idx="17">
                  <c:v>0.66080678285007166</c:v>
                </c:pt>
                <c:pt idx="18">
                  <c:v>0.65354528270620349</c:v>
                </c:pt>
                <c:pt idx="19">
                  <c:v>0.64670443033486558</c:v>
                </c:pt>
                <c:pt idx="20">
                  <c:v>0.64024581728406371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35-4304-9E27-3642E726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48192"/>
        <c:axId val="83279872"/>
      </c:lineChart>
      <c:catAx>
        <c:axId val="8260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113920"/>
        <c:crosses val="autoZero"/>
        <c:auto val="1"/>
        <c:lblAlgn val="ctr"/>
        <c:lblOffset val="100"/>
        <c:noMultiLvlLbl val="0"/>
      </c:catAx>
      <c:valAx>
        <c:axId val="5711392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Price</a:t>
                </a:r>
                <a:endParaRPr lang="ru-RU" i="1"/>
              </a:p>
            </c:rich>
          </c:tx>
          <c:layout>
            <c:manualLayout>
              <c:xMode val="edge"/>
              <c:yMode val="edge"/>
              <c:x val="6.3190658859950205E-2"/>
              <c:y val="2.404937053681175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in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00448"/>
        <c:crosses val="autoZero"/>
        <c:crossBetween val="between"/>
      </c:valAx>
      <c:valAx>
        <c:axId val="83279872"/>
        <c:scaling>
          <c:orientation val="minMax"/>
        </c:scaling>
        <c:delete val="0"/>
        <c:axPos val="r"/>
        <c:minorGridlines>
          <c:spPr>
            <a:ln w="317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Delta</a:t>
                </a:r>
                <a:endParaRPr lang="ru-RU" i="1"/>
              </a:p>
            </c:rich>
          </c:tx>
          <c:layout>
            <c:manualLayout>
              <c:xMode val="edge"/>
              <c:yMode val="edge"/>
              <c:x val="0.86888552392489393"/>
              <c:y val="4.660262797942653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in"/>
        <c:tickLblPos val="high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448192"/>
        <c:crosses val="max"/>
        <c:crossBetween val="between"/>
      </c:valAx>
      <c:catAx>
        <c:axId val="10944819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83279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outerShdw dir="5400000" algn="ctr" rotWithShape="0">
            <a:srgbClr val="000000">
              <a:alpha val="43137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tx1">
        <a:lumMod val="95000"/>
        <a:lumOff val="5000"/>
      </a:schemeClr>
    </a:solidFill>
    <a:ln w="6350" cap="flat" cmpd="sng" algn="ctr">
      <a:solidFill>
        <a:schemeClr val="tx1">
          <a:lumMod val="85000"/>
          <a:lumOff val="15000"/>
        </a:schemeClr>
      </a:solidFill>
      <a:prstDash val="dash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Vega and Theta </a:t>
            </a:r>
            <a:r>
              <a:rPr lang="ru-RU" sz="1400" b="0" i="0" u="none" strike="noStrike" baseline="0">
                <a:effectLst/>
              </a:rPr>
              <a:t>(</a:t>
            </a:r>
            <a:r>
              <a:rPr lang="en-US" sz="1400" b="0" i="0" u="none" strike="noStrike" baseline="0">
                <a:effectLst/>
              </a:rPr>
              <a:t>on volatility</a:t>
            </a:r>
            <a:r>
              <a:rPr lang="ru-RU" sz="1400" b="0" i="0" u="none" strike="noStrike" baseline="0">
                <a:effectLst/>
              </a:rPr>
              <a:t>)</a:t>
            </a:r>
            <a:endParaRPr lang="ru-RU" baseline="0">
              <a:solidFill>
                <a:schemeClr val="bg2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0.1304599000601214"/>
          <c:y val="1.556420233463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461356165430779"/>
          <c:y val="0.11585005349832875"/>
          <c:w val="0.76641006039293635"/>
          <c:h val="0.6813180741071333"/>
        </c:manualLayout>
      </c:layout>
      <c:lineChart>
        <c:grouping val="standard"/>
        <c:varyColors val="0"/>
        <c:ser>
          <c:idx val="1"/>
          <c:order val="0"/>
          <c:tx>
            <c:strRef>
              <c:f>'European Options BSM in VBA'!$H$42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VBA'!$H$43:$H$63</c:f>
              <c:numCache>
                <c:formatCode>0</c:formatCode>
                <c:ptCount val="21"/>
                <c:pt idx="0">
                  <c:v>30.351904253124168</c:v>
                </c:pt>
                <c:pt idx="1">
                  <c:v>36.945422690878701</c:v>
                </c:pt>
                <c:pt idx="2">
                  <c:v>42.630367312781175</c:v>
                </c:pt>
                <c:pt idx="3">
                  <c:v>47.464878765573857</c:v>
                </c:pt>
                <c:pt idx="4">
                  <c:v>51.55571532255771</c:v>
                </c:pt>
                <c:pt idx="5">
                  <c:v>55.016798879042391</c:v>
                </c:pt>
                <c:pt idx="6">
                  <c:v>57.952551890213037</c:v>
                </c:pt>
                <c:pt idx="7">
                  <c:v>60.452708945460351</c:v>
                </c:pt>
                <c:pt idx="8">
                  <c:v>62.592037948901435</c:v>
                </c:pt>
                <c:pt idx="9">
                  <c:v>64.431916165952728</c:v>
                </c:pt>
                <c:pt idx="10">
                  <c:v>66.022408121099431</c:v>
                </c:pt>
                <c:pt idx="11">
                  <c:v>67.404287054464731</c:v>
                </c:pt>
                <c:pt idx="12">
                  <c:v>68.61080136097371</c:v>
                </c:pt>
                <c:pt idx="13">
                  <c:v>69.669143394397096</c:v>
                </c:pt>
                <c:pt idx="14">
                  <c:v>70.601640377552997</c:v>
                </c:pt>
                <c:pt idx="15">
                  <c:v>71.426707654033578</c:v>
                </c:pt>
                <c:pt idx="16">
                  <c:v>72.159607166519166</c:v>
                </c:pt>
                <c:pt idx="17">
                  <c:v>72.813049825231516</c:v>
                </c:pt>
                <c:pt idx="18">
                  <c:v>73.397674203418433</c:v>
                </c:pt>
                <c:pt idx="19">
                  <c:v>73.922427798656557</c:v>
                </c:pt>
                <c:pt idx="20">
                  <c:v>74.394871673156871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C-4FD2-96C2-0C4A090723D4}"/>
            </c:ext>
          </c:extLst>
        </c:ser>
        <c:ser>
          <c:idx val="3"/>
          <c:order val="1"/>
          <c:tx>
            <c:strRef>
              <c:f>'European Options BSM in VBA'!$I$42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VBA'!$I$43:$I$63</c:f>
              <c:numCache>
                <c:formatCode>0</c:formatCode>
                <c:ptCount val="21"/>
                <c:pt idx="0">
                  <c:v>-16.124449134472215</c:v>
                </c:pt>
                <c:pt idx="1">
                  <c:v>-21.936344722709229</c:v>
                </c:pt>
                <c:pt idx="2">
                  <c:v>-27.976178549012648</c:v>
                </c:pt>
                <c:pt idx="3">
                  <c:v>-34.11538161275621</c:v>
                </c:pt>
                <c:pt idx="4">
                  <c:v>-40.277902595748209</c:v>
                </c:pt>
                <c:pt idx="5">
                  <c:v>-46.420424054192019</c:v>
                </c:pt>
                <c:pt idx="6">
                  <c:v>-52.519500150505564</c:v>
                </c:pt>
                <c:pt idx="7">
                  <c:v>-58.563561790914733</c:v>
                </c:pt>
                <c:pt idx="8">
                  <c:v>-64.548039134804611</c:v>
                </c:pt>
                <c:pt idx="9">
                  <c:v>-70.472408306510815</c:v>
                </c:pt>
                <c:pt idx="10">
                  <c:v>-76.338409390021212</c:v>
                </c:pt>
                <c:pt idx="11">
                  <c:v>-82.148974847628907</c:v>
                </c:pt>
                <c:pt idx="12">
                  <c:v>-87.907589243747566</c:v>
                </c:pt>
                <c:pt idx="13">
                  <c:v>-93.617911436221121</c:v>
                </c:pt>
                <c:pt idx="14">
                  <c:v>-99.283556780933935</c:v>
                </c:pt>
                <c:pt idx="15">
                  <c:v>-104.90797686686182</c:v>
                </c:pt>
                <c:pt idx="16">
                  <c:v>-110.49439847373249</c:v>
                </c:pt>
                <c:pt idx="17">
                  <c:v>-116.04579815896274</c:v>
                </c:pt>
                <c:pt idx="18">
                  <c:v>-121.5648978994118</c:v>
                </c:pt>
                <c:pt idx="19">
                  <c:v>-127.05417277894098</c:v>
                </c:pt>
                <c:pt idx="20">
                  <c:v>-132.51586516781072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C-4FD2-96C2-0C4A0907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601984"/>
        <c:axId val="83282176"/>
        <c:extLst/>
      </c:lineChart>
      <c:catAx>
        <c:axId val="8260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282176"/>
        <c:crosses val="autoZero"/>
        <c:auto val="1"/>
        <c:lblAlgn val="ctr"/>
        <c:lblOffset val="100"/>
        <c:noMultiLvlLbl val="0"/>
      </c:catAx>
      <c:valAx>
        <c:axId val="8328217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01984"/>
        <c:crosses val="autoZero"/>
        <c:crossBetween val="between"/>
      </c:valAx>
      <c:spPr>
        <a:noFill/>
        <a:ln>
          <a:noFill/>
        </a:ln>
        <a:effectLst>
          <a:outerShdw dir="5400000" algn="ctr" rotWithShape="0">
            <a:srgbClr val="000000">
              <a:alpha val="43137"/>
            </a:srgbClr>
          </a:outerShdw>
        </a:effectLst>
      </c:spPr>
    </c:plotArea>
    <c:legend>
      <c:legendPos val="b"/>
      <c:layout>
        <c:manualLayout>
          <c:xMode val="edge"/>
          <c:yMode val="edge"/>
          <c:x val="0.32727963384930536"/>
          <c:y val="0.86740157480314961"/>
          <c:w val="0.33851432348619792"/>
          <c:h val="9.1093754981032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tx1">
        <a:lumMod val="95000"/>
        <a:lumOff val="5000"/>
      </a:schemeClr>
    </a:solidFill>
    <a:ln w="6350" cap="flat" cmpd="sng" algn="ctr">
      <a:solidFill>
        <a:schemeClr val="tx1">
          <a:lumMod val="15000"/>
          <a:lumOff val="85000"/>
        </a:schemeClr>
      </a:solidFill>
      <a:prstDash val="dash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Price and Delta </a:t>
            </a:r>
            <a:r>
              <a:rPr lang="ru-RU" sz="1400" b="0" i="0" baseline="0">
                <a:effectLst/>
              </a:rPr>
              <a:t>(</a:t>
            </a:r>
            <a:r>
              <a:rPr lang="en-US" sz="1400" b="0" i="0" baseline="0">
                <a:effectLst/>
              </a:rPr>
              <a:t>on time</a:t>
            </a:r>
            <a:r>
              <a:rPr lang="ru-RU" sz="1400" b="0" i="0" baseline="0">
                <a:effectLst/>
              </a:rPr>
              <a:t>)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23616982836495032"/>
          <c:y val="9.174309717472196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7242748502591028E-2"/>
          <c:y val="8.1795750082575086E-2"/>
          <c:w val="0.77808264351571432"/>
          <c:h val="0.78451090648516209"/>
        </c:manualLayout>
      </c:layout>
      <c:lineChart>
        <c:grouping val="standard"/>
        <c:varyColors val="0"/>
        <c:ser>
          <c:idx val="0"/>
          <c:order val="0"/>
          <c:tx>
            <c:strRef>
              <c:f>'European Options BSM in VBA'!$Y$42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VBA'!$W$43:$W$63</c:f>
              <c:numCache>
                <c:formatCode>_-* #\ ##0_р_._-;\-* #\ ##0_р_._-;_-* "-"??_р_._-;_-@_-</c:formatCode>
                <c:ptCount val="21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</c:numCache>
            </c:numRef>
          </c:cat>
          <c:val>
            <c:numRef>
              <c:f>'European Options BSM in VBA'!$Y$43:$Y$63</c:f>
              <c:numCache>
                <c:formatCode>0</c:formatCode>
                <c:ptCount val="21"/>
                <c:pt idx="0">
                  <c:v>1907.1822336870791</c:v>
                </c:pt>
                <c:pt idx="1">
                  <c:v>1839.2440571420411</c:v>
                </c:pt>
                <c:pt idx="2">
                  <c:v>1770.3772785511064</c:v>
                </c:pt>
                <c:pt idx="3">
                  <c:v>1700.5455959166611</c:v>
                </c:pt>
                <c:pt idx="4">
                  <c:v>1629.7109893971974</c:v>
                </c:pt>
                <c:pt idx="5">
                  <c:v>1557.8337826212155</c:v>
                </c:pt>
                <c:pt idx="6">
                  <c:v>1484.8727843028719</c:v>
                </c:pt>
                <c:pt idx="7">
                  <c:v>1410.7855493598399</c:v>
                </c:pt>
                <c:pt idx="8">
                  <c:v>1335.528817495182</c:v>
                </c:pt>
                <c:pt idx="9">
                  <c:v>1259.0592157824394</c:v>
                </c:pt>
                <c:pt idx="10">
                  <c:v>1181.3343559666464</c:v>
                </c:pt>
                <c:pt idx="11">
                  <c:v>1102.3145266086285</c:v>
                </c:pt>
                <c:pt idx="12">
                  <c:v>1021.965291311426</c:v>
                </c:pt>
                <c:pt idx="13">
                  <c:v>940.26148583743634</c:v>
                </c:pt>
                <c:pt idx="14">
                  <c:v>857.1934105916007</c:v>
                </c:pt>
                <c:pt idx="15">
                  <c:v>772.77653620208002</c:v>
                </c:pt>
                <c:pt idx="16">
                  <c:v>687.06696124974769</c:v>
                </c:pt>
                <c:pt idx="17">
                  <c:v>600.18654405882262</c:v>
                </c:pt>
                <c:pt idx="18">
                  <c:v>512.36481977971562</c:v>
                </c:pt>
                <c:pt idx="19">
                  <c:v>424.01111091211715</c:v>
                </c:pt>
                <c:pt idx="20">
                  <c:v>335.84323435485567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D-4A33-921A-587DE1288912}"/>
            </c:ext>
          </c:extLst>
        </c:ser>
        <c:ser>
          <c:idx val="1"/>
          <c:order val="1"/>
          <c:tx>
            <c:strRef>
              <c:f>'European Options BSM in VBA'!$Z$42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rgbClr val="FF9B9B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VBA'!$W$43:$W$63</c:f>
              <c:numCache>
                <c:formatCode>_-* #\ ##0_р_._-;\-* #\ ##0_р_._-;_-* "-"??_р_._-;_-@_-</c:formatCode>
                <c:ptCount val="21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</c:numCache>
            </c:numRef>
          </c:cat>
          <c:val>
            <c:numRef>
              <c:f>'European Options BSM in VBA'!$Z$43:$Z$63</c:f>
              <c:numCache>
                <c:formatCode>0</c:formatCode>
                <c:ptCount val="21"/>
                <c:pt idx="0">
                  <c:v>6693.71177650959</c:v>
                </c:pt>
                <c:pt idx="1">
                  <c:v>6633.9755695923668</c:v>
                </c:pt>
                <c:pt idx="2">
                  <c:v>6573.3114347914016</c:v>
                </c:pt>
                <c:pt idx="3">
                  <c:v>6511.6830701645522</c:v>
                </c:pt>
                <c:pt idx="4">
                  <c:v>6449.0524559257028</c:v>
                </c:pt>
                <c:pt idx="5">
                  <c:v>6385.3799157588073</c:v>
                </c:pt>
                <c:pt idx="6">
                  <c:v>6320.6242584334104</c:v>
                </c:pt>
                <c:pt idx="7">
                  <c:v>6254.7430389225919</c:v>
                </c:pt>
                <c:pt idx="8">
                  <c:v>6187.6929969849152</c:v>
                </c:pt>
                <c:pt idx="9">
                  <c:v>6119.4307597493462</c:v>
                </c:pt>
                <c:pt idx="10">
                  <c:v>6049.9139390163473</c:v>
                </c:pt>
                <c:pt idx="11">
                  <c:v>5979.1028234022087</c:v>
                </c:pt>
                <c:pt idx="12">
                  <c:v>5906.9629765653808</c:v>
                </c:pt>
                <c:pt idx="13">
                  <c:v>5833.4692343237839</c:v>
                </c:pt>
                <c:pt idx="14">
                  <c:v>5758.6118971377728</c:v>
                </c:pt>
                <c:pt idx="15">
                  <c:v>5682.4064356910094</c:v>
                </c:pt>
                <c:pt idx="16">
                  <c:v>5604.9089486198063</c:v>
                </c:pt>
                <c:pt idx="17">
                  <c:v>5526.2412943038944</c:v>
                </c:pt>
                <c:pt idx="18">
                  <c:v>5446.6330079491308</c:v>
                </c:pt>
                <c:pt idx="19">
                  <c:v>5366.4934121107362</c:v>
                </c:pt>
                <c:pt idx="20">
                  <c:v>5286.5403237429709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DD-4A33-921A-587DE1288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03520"/>
        <c:axId val="83284480"/>
        <c:extLst/>
      </c:lineChart>
      <c:lineChart>
        <c:grouping val="standard"/>
        <c:varyColors val="0"/>
        <c:ser>
          <c:idx val="3"/>
          <c:order val="2"/>
          <c:tx>
            <c:strRef>
              <c:f>'European Options BSM in VBA'!$AA$42</c:f>
              <c:strCache>
                <c:ptCount val="1"/>
                <c:pt idx="0">
                  <c:v>∆Call</c:v>
                </c:pt>
              </c:strCache>
            </c:strRef>
          </c:tx>
          <c:spPr>
            <a:ln w="25400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VBA'!$AA$43:$AA$63</c:f>
              <c:numCache>
                <c:formatCode>0.00</c:formatCode>
                <c:ptCount val="21"/>
                <c:pt idx="0">
                  <c:v>0.32693072910785281</c:v>
                </c:pt>
                <c:pt idx="1">
                  <c:v>0.32273302706221751</c:v>
                </c:pt>
                <c:pt idx="2">
                  <c:v>0.31832073435837804</c:v>
                </c:pt>
                <c:pt idx="3">
                  <c:v>0.31367358128628064</c:v>
                </c:pt>
                <c:pt idx="4">
                  <c:v>0.3087684973395724</c:v>
                </c:pt>
                <c:pt idx="5">
                  <c:v>0.30357909518254345</c:v>
                </c:pt>
                <c:pt idx="6">
                  <c:v>0.29807503446295136</c:v>
                </c:pt>
                <c:pt idx="7">
                  <c:v>0.29222123138503431</c:v>
                </c:pt>
                <c:pt idx="8">
                  <c:v>0.28597686850890158</c:v>
                </c:pt>
                <c:pt idx="9">
                  <c:v>0.27929414336156722</c:v>
                </c:pt>
                <c:pt idx="10">
                  <c:v>0.27211667221336588</c:v>
                </c:pt>
                <c:pt idx="11">
                  <c:v>0.2643774339928584</c:v>
                </c:pt>
                <c:pt idx="12">
                  <c:v>0.25599609472705476</c:v>
                </c:pt>
                <c:pt idx="13">
                  <c:v>0.2468754893466602</c:v>
                </c:pt>
                <c:pt idx="14">
                  <c:v>0.23689694745515871</c:v>
                </c:pt>
                <c:pt idx="15">
                  <c:v>0.22591402375393327</c:v>
                </c:pt>
                <c:pt idx="16">
                  <c:v>0.21374402667647499</c:v>
                </c:pt>
                <c:pt idx="17">
                  <c:v>0.20015654627913487</c:v>
                </c:pt>
                <c:pt idx="18">
                  <c:v>0.18485806480519651</c:v>
                </c:pt>
                <c:pt idx="19">
                  <c:v>0.16747209216800771</c:v>
                </c:pt>
                <c:pt idx="20">
                  <c:v>0.14751657870182849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DD-4A33-921A-587DE1288912}"/>
            </c:ext>
          </c:extLst>
        </c:ser>
        <c:ser>
          <c:idx val="4"/>
          <c:order val="3"/>
          <c:tx>
            <c:strRef>
              <c:f>'European Options BSM in VBA'!$AB$42</c:f>
              <c:strCache>
                <c:ptCount val="1"/>
                <c:pt idx="0">
                  <c:v>–∆Put</c:v>
                </c:pt>
              </c:strCache>
            </c:strRef>
          </c:tx>
          <c:spPr>
            <a:ln w="25400" cap="rnd">
              <a:solidFill>
                <a:srgbClr val="FF9B9B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'European Options BSM in VBA'!$C$43:$C$63</c:f>
              <c:numCache>
                <c:formatCode>0%</c:formatCode>
                <c:ptCount val="21"/>
                <c:pt idx="0">
                  <c:v>0.16999999999999998</c:v>
                </c:pt>
                <c:pt idx="1">
                  <c:v>0.19</c:v>
                </c:pt>
                <c:pt idx="2">
                  <c:v>0.21</c:v>
                </c:pt>
                <c:pt idx="3">
                  <c:v>0.22999999999999998</c:v>
                </c:pt>
                <c:pt idx="4">
                  <c:v>0.25</c:v>
                </c:pt>
                <c:pt idx="5">
                  <c:v>0.27</c:v>
                </c:pt>
                <c:pt idx="6">
                  <c:v>0.28999999999999998</c:v>
                </c:pt>
                <c:pt idx="7">
                  <c:v>0.31</c:v>
                </c:pt>
                <c:pt idx="8">
                  <c:v>0.33</c:v>
                </c:pt>
                <c:pt idx="9">
                  <c:v>0.35</c:v>
                </c:pt>
                <c:pt idx="10">
                  <c:v>0.37</c:v>
                </c:pt>
                <c:pt idx="11">
                  <c:v>0.39</c:v>
                </c:pt>
                <c:pt idx="12">
                  <c:v>0.41</c:v>
                </c:pt>
                <c:pt idx="13">
                  <c:v>0.43</c:v>
                </c:pt>
                <c:pt idx="14">
                  <c:v>0.45</c:v>
                </c:pt>
                <c:pt idx="15">
                  <c:v>0.47</c:v>
                </c:pt>
                <c:pt idx="16">
                  <c:v>0.49</c:v>
                </c:pt>
                <c:pt idx="17">
                  <c:v>0.51</c:v>
                </c:pt>
                <c:pt idx="18">
                  <c:v>0.53</c:v>
                </c:pt>
                <c:pt idx="19">
                  <c:v>0.55000000000000004</c:v>
                </c:pt>
                <c:pt idx="20">
                  <c:v>0.57000000000000006</c:v>
                </c:pt>
              </c:numCache>
            </c:numRef>
          </c:cat>
          <c:val>
            <c:numRef>
              <c:f>'European Options BSM in VBA'!$AB$43:$AB$63</c:f>
              <c:numCache>
                <c:formatCode>0.00</c:formatCode>
                <c:ptCount val="21"/>
                <c:pt idx="0">
                  <c:v>0.67306927089214719</c:v>
                </c:pt>
                <c:pt idx="1">
                  <c:v>0.67726697293778249</c:v>
                </c:pt>
                <c:pt idx="2">
                  <c:v>0.68167926564162196</c:v>
                </c:pt>
                <c:pt idx="3">
                  <c:v>0.68632641871371936</c:v>
                </c:pt>
                <c:pt idx="4">
                  <c:v>0.69123150266042765</c:v>
                </c:pt>
                <c:pt idx="5">
                  <c:v>0.69642090481745655</c:v>
                </c:pt>
                <c:pt idx="6">
                  <c:v>0.70192496553704864</c:v>
                </c:pt>
                <c:pt idx="7">
                  <c:v>0.70777876861496569</c:v>
                </c:pt>
                <c:pt idx="8">
                  <c:v>0.71402313149109842</c:v>
                </c:pt>
                <c:pt idx="9">
                  <c:v>0.72070585663843278</c:v>
                </c:pt>
                <c:pt idx="10">
                  <c:v>0.72788332778663412</c:v>
                </c:pt>
                <c:pt idx="11">
                  <c:v>0.7356225660071416</c:v>
                </c:pt>
                <c:pt idx="12">
                  <c:v>0.74400390527294524</c:v>
                </c:pt>
                <c:pt idx="13">
                  <c:v>0.75312451065333974</c:v>
                </c:pt>
                <c:pt idx="14">
                  <c:v>0.76310305254484123</c:v>
                </c:pt>
                <c:pt idx="15">
                  <c:v>0.77408597624606679</c:v>
                </c:pt>
                <c:pt idx="16">
                  <c:v>0.78625597332352504</c:v>
                </c:pt>
                <c:pt idx="17">
                  <c:v>0.79984345372086518</c:v>
                </c:pt>
                <c:pt idx="18">
                  <c:v>0.81514193519480349</c:v>
                </c:pt>
                <c:pt idx="19">
                  <c:v>0.83252790783199226</c:v>
                </c:pt>
                <c:pt idx="20">
                  <c:v>0.85248342129817156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DD-4A33-921A-587DE1288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88928"/>
        <c:axId val="83285056"/>
      </c:lineChart>
      <c:catAx>
        <c:axId val="8260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_-* #\ ##0_р_._-;\-* #\ ##0_р_._-;_-* &quot;-&quot;??_р_.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284480"/>
        <c:crosses val="autoZero"/>
        <c:auto val="1"/>
        <c:lblAlgn val="ctr"/>
        <c:lblOffset val="100"/>
        <c:noMultiLvlLbl val="0"/>
      </c:catAx>
      <c:valAx>
        <c:axId val="8328448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Price</a:t>
                </a:r>
                <a:endParaRPr lang="ru-RU" i="1"/>
              </a:p>
            </c:rich>
          </c:tx>
          <c:layout>
            <c:manualLayout>
              <c:xMode val="edge"/>
              <c:yMode val="edge"/>
              <c:x val="6.3190658859950205E-2"/>
              <c:y val="2.404937053681175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in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03520"/>
        <c:crosses val="autoZero"/>
        <c:crossBetween val="between"/>
      </c:valAx>
      <c:valAx>
        <c:axId val="83285056"/>
        <c:scaling>
          <c:orientation val="minMax"/>
        </c:scaling>
        <c:delete val="0"/>
        <c:axPos val="r"/>
        <c:minorGridlines>
          <c:spPr>
            <a:ln w="317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/>
                  <a:t>Delta</a:t>
                </a:r>
                <a:endParaRPr lang="ru-RU" i="1"/>
              </a:p>
            </c:rich>
          </c:tx>
          <c:layout>
            <c:manualLayout>
              <c:xMode val="edge"/>
              <c:yMode val="edge"/>
              <c:x val="0.86888552392489393"/>
              <c:y val="4.660262797942653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in"/>
        <c:tickLblPos val="high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588928"/>
        <c:crosses val="max"/>
        <c:crossBetween val="between"/>
      </c:valAx>
      <c:catAx>
        <c:axId val="11058892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83285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outerShdw dir="5400000" algn="ctr" rotWithShape="0">
            <a:srgbClr val="000000">
              <a:alpha val="43137"/>
            </a:srgbClr>
          </a:outerShdw>
        </a:effectLst>
      </c:spPr>
    </c:plotArea>
    <c:legend>
      <c:legendPos val="b"/>
      <c:layout>
        <c:manualLayout>
          <c:xMode val="edge"/>
          <c:yMode val="edge"/>
          <c:x val="8.3934589477128368E-2"/>
          <c:y val="0.94227794016760813"/>
          <c:w val="0.83213053652846236"/>
          <c:h val="5.1605853354077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tx1">
        <a:lumMod val="95000"/>
        <a:lumOff val="5000"/>
      </a:schemeClr>
    </a:solidFill>
    <a:ln w="6350" cap="flat" cmpd="sng" algn="ctr">
      <a:solidFill>
        <a:schemeClr val="tx1">
          <a:lumMod val="85000"/>
          <a:lumOff val="15000"/>
        </a:schemeClr>
      </a:solidFill>
      <a:prstDash val="dash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2">
                    <a:lumMod val="75000"/>
                  </a:schemeClr>
                </a:solidFill>
              </a:rPr>
              <a:t>Vega and Theta (on time)</a:t>
            </a:r>
            <a:endParaRPr lang="ru-RU" baseline="0">
              <a:solidFill>
                <a:schemeClr val="bg2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0.23802062500563895"/>
          <c:y val="1.556420233463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461356165430779"/>
          <c:y val="0.11585005349832875"/>
          <c:w val="0.76641006039293635"/>
          <c:h val="0.6813180741071333"/>
        </c:manualLayout>
      </c:layout>
      <c:lineChart>
        <c:grouping val="standard"/>
        <c:varyColors val="0"/>
        <c:ser>
          <c:idx val="1"/>
          <c:order val="0"/>
          <c:tx>
            <c:strRef>
              <c:f>'European Options BSM in VBA'!$AC$42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VBA'!$W$43:$W$63</c:f>
              <c:numCache>
                <c:formatCode>_-* #\ ##0_р_._-;\-* #\ ##0_р_._-;_-* "-"??_р_._-;_-@_-</c:formatCode>
                <c:ptCount val="21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</c:numCache>
            </c:numRef>
          </c:cat>
          <c:val>
            <c:numRef>
              <c:f>'European Options BSM in VBA'!$AC$43:$AC$63</c:f>
              <c:numCache>
                <c:formatCode>0</c:formatCode>
                <c:ptCount val="21"/>
                <c:pt idx="0">
                  <c:v>91.477207912641319</c:v>
                </c:pt>
                <c:pt idx="1">
                  <c:v>89.226718923170523</c:v>
                </c:pt>
                <c:pt idx="2">
                  <c:v>86.92284782204193</c:v>
                </c:pt>
                <c:pt idx="3">
                  <c:v>84.561931206665122</c:v>
                </c:pt>
                <c:pt idx="4">
                  <c:v>82.139887404641598</c:v>
                </c:pt>
                <c:pt idx="5">
                  <c:v>79.652149448731137</c:v>
                </c:pt>
                <c:pt idx="6">
                  <c:v>77.093584193952651</c:v>
                </c:pt>
                <c:pt idx="7">
                  <c:v>74.458394078715386</c:v>
                </c:pt>
                <c:pt idx="8">
                  <c:v>71.739997004017056</c:v>
                </c:pt>
                <c:pt idx="9">
                  <c:v>68.930878445684172</c:v>
                </c:pt>
                <c:pt idx="10">
                  <c:v>66.022408121099431</c:v>
                </c:pt>
                <c:pt idx="11">
                  <c:v>63.00461118472883</c:v>
                </c:pt>
                <c:pt idx="12">
                  <c:v>59.865880917737293</c:v>
                </c:pt>
                <c:pt idx="13">
                  <c:v>56.59261619336862</c:v>
                </c:pt>
                <c:pt idx="14">
                  <c:v>53.168762962421987</c:v>
                </c:pt>
                <c:pt idx="15">
                  <c:v>49.575235909531074</c:v>
                </c:pt>
                <c:pt idx="16">
                  <c:v>45.789198289307066</c:v>
                </c:pt>
                <c:pt idx="17">
                  <c:v>41.783196252980353</c:v>
                </c:pt>
                <c:pt idx="18">
                  <c:v>37.524211315911671</c:v>
                </c:pt>
                <c:pt idx="19">
                  <c:v>32.972905611585482</c:v>
                </c:pt>
                <c:pt idx="20">
                  <c:v>28.083977149504676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D-4982-9F86-04A3085330B0}"/>
            </c:ext>
          </c:extLst>
        </c:ser>
        <c:ser>
          <c:idx val="3"/>
          <c:order val="1"/>
          <c:tx>
            <c:strRef>
              <c:f>'European Options BSM in VBA'!$AD$42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'European Options BSM in VBA'!$W$43:$W$63</c:f>
              <c:numCache>
                <c:formatCode>_-* #\ ##0_р_._-;\-* #\ ##0_р_._-;_-* "-"??_р_._-;_-@_-</c:formatCode>
                <c:ptCount val="21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  <c:pt idx="19">
                  <c:v>7</c:v>
                </c:pt>
                <c:pt idx="20">
                  <c:v>6</c:v>
                </c:pt>
              </c:numCache>
            </c:numRef>
          </c:cat>
          <c:val>
            <c:numRef>
              <c:f>'European Options BSM in VBA'!$AD$43:$AD$63</c:f>
              <c:numCache>
                <c:formatCode>0</c:formatCode>
                <c:ptCount val="21"/>
                <c:pt idx="0">
                  <c:v>-65.089551783994764</c:v>
                </c:pt>
                <c:pt idx="1">
                  <c:v>-66.027772003146183</c:v>
                </c:pt>
                <c:pt idx="2">
                  <c:v>-67.003028529490649</c:v>
                </c:pt>
                <c:pt idx="3">
                  <c:v>-68.017205535795839</c:v>
                </c:pt>
                <c:pt idx="4">
                  <c:v>-69.072178044812247</c:v>
                </c:pt>
                <c:pt idx="5">
                  <c:v>-70.16975070483457</c:v>
                </c:pt>
                <c:pt idx="6">
                  <c:v>-71.311565379406233</c:v>
                </c:pt>
                <c:pt idx="7">
                  <c:v>-72.498962655591299</c:v>
                </c:pt>
                <c:pt idx="8">
                  <c:v>-73.732774698573053</c:v>
                </c:pt>
                <c:pt idx="9">
                  <c:v>-75.013014779126891</c:v>
                </c:pt>
                <c:pt idx="10">
                  <c:v>-76.338409390021212</c:v>
                </c:pt>
                <c:pt idx="11">
                  <c:v>-77.705687127832221</c:v>
                </c:pt>
                <c:pt idx="12">
                  <c:v>-79.108485498438569</c:v>
                </c:pt>
                <c:pt idx="13">
                  <c:v>-80.535646121332263</c:v>
                </c:pt>
                <c:pt idx="14">
                  <c:v>-81.96850956706723</c:v>
                </c:pt>
                <c:pt idx="15">
                  <c:v>-83.37653312057499</c:v>
                </c:pt>
                <c:pt idx="16">
                  <c:v>-84.71001683521807</c:v>
                </c:pt>
                <c:pt idx="17">
                  <c:v>-85.88768118668186</c:v>
                </c:pt>
                <c:pt idx="18">
                  <c:v>-86.774738668045742</c:v>
                </c:pt>
                <c:pt idx="19">
                  <c:v>-87.142679116333071</c:v>
                </c:pt>
                <c:pt idx="20">
                  <c:v>-86.592262877639413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D-4982-9F86-04A308533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602496"/>
        <c:axId val="83287360"/>
        <c:extLst/>
      </c:lineChart>
      <c:catAx>
        <c:axId val="8260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_-* #\ ##0_р_._-;\-* #\ ##0_р_._-;_-* &quot;-&quot;??_р_.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287360"/>
        <c:crosses val="autoZero"/>
        <c:auto val="1"/>
        <c:lblAlgn val="ctr"/>
        <c:lblOffset val="100"/>
        <c:noMultiLvlLbl val="0"/>
      </c:catAx>
      <c:valAx>
        <c:axId val="8328736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02496"/>
        <c:crosses val="autoZero"/>
        <c:crossBetween val="between"/>
      </c:valAx>
      <c:spPr>
        <a:noFill/>
        <a:ln>
          <a:noFill/>
        </a:ln>
        <a:effectLst>
          <a:outerShdw dir="5400000" algn="ctr" rotWithShape="0">
            <a:srgbClr val="000000">
              <a:alpha val="43137"/>
            </a:srgbClr>
          </a:outerShdw>
        </a:effectLst>
      </c:spPr>
    </c:plotArea>
    <c:legend>
      <c:legendPos val="b"/>
      <c:layout>
        <c:manualLayout>
          <c:xMode val="edge"/>
          <c:yMode val="edge"/>
          <c:x val="0.32727963384930536"/>
          <c:y val="0.86740157480314961"/>
          <c:w val="0.33851432348619792"/>
          <c:h val="9.1093754981032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tx1">
        <a:lumMod val="95000"/>
        <a:lumOff val="5000"/>
      </a:schemeClr>
    </a:solidFill>
    <a:ln w="6350" cap="flat" cmpd="sng" algn="ctr">
      <a:solidFill>
        <a:schemeClr val="tx1">
          <a:lumMod val="15000"/>
          <a:lumOff val="85000"/>
        </a:schemeClr>
      </a:solidFill>
      <a:prstDash val="dash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2</xdr:row>
      <xdr:rowOff>57149</xdr:rowOff>
    </xdr:from>
    <xdr:to>
      <xdr:col>17</xdr:col>
      <xdr:colOff>590550</xdr:colOff>
      <xdr:row>22</xdr:row>
      <xdr:rowOff>85724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9526</xdr:colOff>
      <xdr:row>22</xdr:row>
      <xdr:rowOff>114299</xdr:rowOff>
    </xdr:from>
    <xdr:to>
      <xdr:col>18</xdr:col>
      <xdr:colOff>0</xdr:colOff>
      <xdr:row>35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19050</xdr:colOff>
      <xdr:row>2</xdr:row>
      <xdr:rowOff>76200</xdr:rowOff>
    </xdr:from>
    <xdr:to>
      <xdr:col>25</xdr:col>
      <xdr:colOff>0</xdr:colOff>
      <xdr:row>22</xdr:row>
      <xdr:rowOff>171451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</xdr:colOff>
      <xdr:row>23</xdr:row>
      <xdr:rowOff>9525</xdr:rowOff>
    </xdr:from>
    <xdr:to>
      <xdr:col>25</xdr:col>
      <xdr:colOff>9525</xdr:colOff>
      <xdr:row>35</xdr:row>
      <xdr:rowOff>171450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2</xdr:row>
      <xdr:rowOff>95250</xdr:rowOff>
    </xdr:from>
    <xdr:to>
      <xdr:col>31</xdr:col>
      <xdr:colOff>466725</xdr:colOff>
      <xdr:row>23</xdr:row>
      <xdr:rowOff>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9525</xdr:colOff>
      <xdr:row>23</xdr:row>
      <xdr:rowOff>9525</xdr:rowOff>
    </xdr:from>
    <xdr:to>
      <xdr:col>32</xdr:col>
      <xdr:colOff>9524</xdr:colOff>
      <xdr:row>35</xdr:row>
      <xdr:rowOff>171450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isksi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66"/>
  <sheetViews>
    <sheetView tabSelected="1" zoomScale="85" zoomScaleNormal="85" workbookViewId="0">
      <selection activeCell="D5" sqref="D5"/>
    </sheetView>
  </sheetViews>
  <sheetFormatPr defaultRowHeight="15"/>
  <cols>
    <col min="1" max="1" width="2.140625" customWidth="1"/>
    <col min="2" max="2" width="3.140625" customWidth="1"/>
    <col min="3" max="3" width="19.85546875" customWidth="1"/>
    <col min="4" max="4" width="8" customWidth="1"/>
    <col min="5" max="5" width="4.5703125" customWidth="1"/>
    <col min="6" max="6" width="5.5703125" customWidth="1"/>
    <col min="7" max="7" width="5.7109375" customWidth="1"/>
    <col min="8" max="9" width="9.42578125" customWidth="1"/>
    <col min="10" max="10" width="2.5703125" customWidth="1"/>
    <col min="11" max="11" width="1.7109375" style="10" customWidth="1"/>
    <col min="12" max="12" width="8" style="4" customWidth="1"/>
    <col min="13" max="18" width="9.140625" style="4"/>
    <col min="19" max="19" width="1.42578125" style="10" customWidth="1"/>
    <col min="20" max="23" width="9.140625" style="4"/>
    <col min="24" max="24" width="9.7109375" style="4" bestFit="1" customWidth="1"/>
    <col min="25" max="25" width="8.42578125" style="4" customWidth="1"/>
    <col min="26" max="26" width="1.85546875" customWidth="1"/>
    <col min="27" max="32" width="9.140625" style="4"/>
    <col min="33" max="33" width="2.140625" customWidth="1"/>
  </cols>
  <sheetData>
    <row r="1" spans="1:33" ht="8.25" customHeight="1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</row>
    <row r="2" spans="1:33" ht="24.75" customHeight="1">
      <c r="A2" s="63"/>
      <c r="B2" s="4"/>
      <c r="C2" s="54"/>
      <c r="D2" s="54"/>
      <c r="E2" s="54"/>
      <c r="F2" s="54"/>
      <c r="G2" s="54"/>
      <c r="H2" s="54"/>
      <c r="I2" s="54"/>
      <c r="J2" s="4"/>
      <c r="K2" s="62"/>
      <c r="L2" s="61" t="s">
        <v>30</v>
      </c>
      <c r="M2" s="61"/>
      <c r="N2" s="61"/>
      <c r="O2" s="61"/>
      <c r="P2" s="61"/>
      <c r="Q2" s="61"/>
      <c r="S2" s="66"/>
      <c r="T2" s="61" t="s">
        <v>31</v>
      </c>
      <c r="U2" s="61"/>
      <c r="V2" s="61"/>
      <c r="W2" s="61"/>
      <c r="X2" s="61"/>
      <c r="Y2" s="61"/>
      <c r="Z2" s="62"/>
      <c r="AA2" s="61" t="s">
        <v>32</v>
      </c>
      <c r="AB2" s="61"/>
      <c r="AC2" s="61"/>
      <c r="AD2" s="61"/>
      <c r="AE2" s="61"/>
      <c r="AF2" s="61"/>
      <c r="AG2" s="62"/>
    </row>
    <row r="3" spans="1:33" ht="15" customHeight="1">
      <c r="A3" s="64"/>
      <c r="B3" s="4"/>
      <c r="C3" s="50" t="s">
        <v>8</v>
      </c>
      <c r="D3" s="50"/>
      <c r="E3" s="4"/>
      <c r="F3" s="55" t="s">
        <v>18</v>
      </c>
      <c r="G3" s="56"/>
      <c r="H3" s="6" t="s">
        <v>19</v>
      </c>
      <c r="I3" s="5" t="s">
        <v>20</v>
      </c>
      <c r="J3" s="4"/>
      <c r="K3" s="62"/>
      <c r="S3" s="66"/>
      <c r="Z3" s="62"/>
      <c r="AG3" s="62"/>
    </row>
    <row r="4" spans="1:33">
      <c r="A4" s="64"/>
      <c r="B4" s="4"/>
      <c r="C4" s="1" t="s">
        <v>10</v>
      </c>
      <c r="D4" s="3">
        <v>95000</v>
      </c>
      <c r="E4" s="4"/>
      <c r="F4" s="51" t="s">
        <v>21</v>
      </c>
      <c r="G4" s="51"/>
      <c r="H4" s="8" cm="1">
        <f t="array" ref="H4">OptionPrice(H3,BA,Strike,TT,god,Vola,riskrate)</f>
        <v>1181.3343559666464</v>
      </c>
      <c r="I4" s="33" cm="1">
        <f t="array" ref="I4">OptionPrice(I3,BA,Strike,TT,god,Vola,riskrate)</f>
        <v>6049.9139390163473</v>
      </c>
      <c r="J4" s="4"/>
      <c r="K4" s="62"/>
      <c r="S4" s="66"/>
      <c r="Z4" s="62"/>
      <c r="AG4" s="62"/>
    </row>
    <row r="5" spans="1:33">
      <c r="A5" s="64"/>
      <c r="B5" s="4"/>
      <c r="C5" s="2" t="s">
        <v>11</v>
      </c>
      <c r="D5" s="3">
        <v>100000</v>
      </c>
      <c r="E5" s="4"/>
      <c r="F5" s="52" t="s">
        <v>22</v>
      </c>
      <c r="G5" s="53"/>
      <c r="H5" s="41" cm="1">
        <f t="array" ref="H5">OptionDelta(H3,BA,Strike,TT,god,Vola,riskrate)</f>
        <v>0.27211667221336588</v>
      </c>
      <c r="I5" s="42" cm="1">
        <f t="array" ref="I5">OptionDelta(I3,BA,Strike,TT,god,Vola,riskrate)</f>
        <v>-0.72788332778663412</v>
      </c>
      <c r="J5" s="4"/>
      <c r="K5" s="62"/>
      <c r="S5" s="66"/>
      <c r="Z5" s="62"/>
      <c r="AG5" s="62"/>
    </row>
    <row r="6" spans="1:33">
      <c r="A6" s="64"/>
      <c r="B6" s="4"/>
      <c r="C6" s="1" t="s">
        <v>12</v>
      </c>
      <c r="D6" s="12">
        <v>0.37</v>
      </c>
      <c r="E6" s="4"/>
      <c r="F6" s="52" t="s">
        <v>23</v>
      </c>
      <c r="G6" s="53"/>
      <c r="H6" s="7" cm="1">
        <f t="array" ref="H6">OptionGamma(BA,Strike,TT,god,Vola,riskrate)</f>
        <v>4.5104025911883838E-5</v>
      </c>
      <c r="I6" s="34" cm="1">
        <f t="array" ref="I6">OptionGamma(BA,Strike,TT,god,Vola,riskrate)</f>
        <v>4.5104025911883838E-5</v>
      </c>
      <c r="J6" s="4"/>
      <c r="K6" s="62"/>
      <c r="S6" s="66"/>
      <c r="Z6" s="62"/>
      <c r="AG6" s="62"/>
    </row>
    <row r="7" spans="1:33">
      <c r="A7" s="64"/>
      <c r="B7" s="4"/>
      <c r="C7" s="1" t="s">
        <v>13</v>
      </c>
      <c r="D7" s="3">
        <v>16</v>
      </c>
      <c r="E7" s="4"/>
      <c r="F7" s="52" t="s">
        <v>24</v>
      </c>
      <c r="G7" s="53"/>
      <c r="H7" s="8" cm="1">
        <f t="array" ref="H7">OptionVega(BA,Strike,TT,god,Vola,riskrate)</f>
        <v>66.022408121099431</v>
      </c>
      <c r="I7" s="33" cm="1">
        <f t="array" ref="I7">OptionVega(BA,Strike,TT,god,Vola,riskrate)</f>
        <v>66.022408121099431</v>
      </c>
      <c r="J7" s="4"/>
      <c r="K7" s="62"/>
      <c r="S7" s="66"/>
      <c r="Z7" s="62"/>
      <c r="AG7" s="62"/>
    </row>
    <row r="8" spans="1:33">
      <c r="A8" s="64"/>
      <c r="B8" s="4"/>
      <c r="C8" s="1" t="s">
        <v>14</v>
      </c>
      <c r="D8" s="3">
        <v>365</v>
      </c>
      <c r="E8" s="4"/>
      <c r="F8" s="52" t="s">
        <v>25</v>
      </c>
      <c r="G8" s="53"/>
      <c r="H8" s="8" cm="1">
        <f t="array" ref="H8">OptionTheta(BA,Strike,TT,god,Vola,riskrate)</f>
        <v>-76.338409390021212</v>
      </c>
      <c r="I8" s="33" cm="1">
        <f t="array" ref="I8">OptionTheta(BA,Strike,TT,god,Vola,riskrate)</f>
        <v>-76.338409390021212</v>
      </c>
      <c r="J8" s="4"/>
      <c r="K8" s="62"/>
      <c r="S8" s="66"/>
      <c r="Z8" s="62"/>
      <c r="AG8" s="62"/>
    </row>
    <row r="9" spans="1:33">
      <c r="A9" s="64"/>
      <c r="B9" s="4"/>
      <c r="C9" s="1" t="s">
        <v>15</v>
      </c>
      <c r="D9" s="38">
        <v>0.03</v>
      </c>
      <c r="E9" s="4"/>
      <c r="F9" s="52" t="s">
        <v>26</v>
      </c>
      <c r="G9" s="53"/>
      <c r="H9" s="41" cm="1">
        <f t="array" ref="H9">OptionRho(BA,Strike,TT,god,Vola,riskrate)</f>
        <v>0.10814136769009583</v>
      </c>
      <c r="I9" s="42" cm="1">
        <f t="array" ref="I9">OptionRho(BA,Strike,TT,god,Vola,riskrate)</f>
        <v>0.10814136769009583</v>
      </c>
      <c r="J9" s="4"/>
      <c r="K9" s="62"/>
      <c r="S9" s="66"/>
      <c r="Z9" s="62"/>
      <c r="AG9" s="62"/>
    </row>
    <row r="10" spans="1:33">
      <c r="A10" s="64"/>
      <c r="B10" s="4"/>
      <c r="C10" s="15" t="s">
        <v>7</v>
      </c>
      <c r="D10" s="32">
        <f>IF(TT/god&gt;0,TT/god,10^(-10))</f>
        <v>4.3835616438356165E-2</v>
      </c>
      <c r="E10" s="4"/>
      <c r="F10" s="4"/>
      <c r="G10" s="15" t="s">
        <v>0</v>
      </c>
      <c r="H10" s="16" cm="1">
        <f t="array" ref="H10">d_1(BA,Strike,TT,god,Vola,riskrate)</f>
        <v>-0.60642383582545278</v>
      </c>
      <c r="I10" s="4"/>
      <c r="J10" s="4"/>
      <c r="K10" s="62"/>
      <c r="S10" s="66"/>
      <c r="Z10" s="62"/>
      <c r="AG10" s="62"/>
    </row>
    <row r="11" spans="1:33">
      <c r="A11" s="64"/>
      <c r="B11" s="4"/>
      <c r="C11" s="4"/>
      <c r="D11" s="4"/>
      <c r="E11" s="13"/>
      <c r="F11" s="13"/>
      <c r="G11" s="15" t="s">
        <v>1</v>
      </c>
      <c r="H11" s="16" cm="1">
        <f t="array" ref="H11">d_2(BA,Strike,TT,god,Vola,riskrate)</f>
        <v>-0.68389057636880435</v>
      </c>
      <c r="I11" s="4"/>
      <c r="J11" s="4"/>
      <c r="K11" s="62"/>
      <c r="S11" s="66"/>
      <c r="Z11" s="62"/>
      <c r="AG11" s="62"/>
    </row>
    <row r="12" spans="1:33">
      <c r="A12" s="64"/>
      <c r="B12" s="4"/>
      <c r="C12" s="50" t="s">
        <v>9</v>
      </c>
      <c r="D12" s="50"/>
      <c r="E12" s="4"/>
      <c r="F12" s="4"/>
      <c r="G12" s="15" t="s">
        <v>2</v>
      </c>
      <c r="H12" s="16" cm="1">
        <f t="array" ref="H12">Nd_1(BA,Strike,TT,god,Vola,riskrate)</f>
        <v>0.27211667221336588</v>
      </c>
      <c r="I12" s="4"/>
      <c r="J12" s="4"/>
      <c r="K12" s="62"/>
      <c r="S12" s="66"/>
      <c r="Z12" s="62"/>
      <c r="AG12" s="62"/>
    </row>
    <row r="13" spans="1:33" ht="15" customHeight="1">
      <c r="A13" s="64"/>
      <c r="B13" s="4"/>
      <c r="C13" s="57" t="s">
        <v>27</v>
      </c>
      <c r="D13" s="59">
        <v>0.02</v>
      </c>
      <c r="E13" s="4"/>
      <c r="F13" s="4"/>
      <c r="G13" s="15" t="s">
        <v>3</v>
      </c>
      <c r="H13" s="16" cm="1">
        <f t="array" ref="H13">Nd_2(BA,Strike,TT,god,Vola,riskrate)</f>
        <v>0.24702213255960048</v>
      </c>
      <c r="I13" s="4"/>
      <c r="J13" s="4"/>
      <c r="K13" s="62"/>
      <c r="S13" s="66"/>
      <c r="Z13" s="62"/>
      <c r="AG13" s="62"/>
    </row>
    <row r="14" spans="1:33">
      <c r="A14" s="64"/>
      <c r="B14" s="4"/>
      <c r="C14" s="58"/>
      <c r="D14" s="60"/>
      <c r="E14" s="4"/>
      <c r="F14" s="4"/>
      <c r="G14" s="15" t="s">
        <v>4</v>
      </c>
      <c r="H14" s="16" cm="1">
        <f t="array" ref="H14">N1d_1(BA,Strike,TT,god,Vola,riskrate)</f>
        <v>0.33193587791376877</v>
      </c>
      <c r="I14" s="4"/>
      <c r="J14" s="4"/>
      <c r="K14" s="62"/>
      <c r="S14" s="66"/>
      <c r="Z14" s="62"/>
      <c r="AG14" s="62"/>
    </row>
    <row r="15" spans="1:33" ht="17.25" customHeight="1">
      <c r="A15" s="64"/>
      <c r="B15" s="4"/>
      <c r="C15" s="37" t="s">
        <v>28</v>
      </c>
      <c r="D15" s="27">
        <v>0.02</v>
      </c>
      <c r="E15" s="4"/>
      <c r="F15" s="4"/>
      <c r="G15" s="15" t="s">
        <v>6</v>
      </c>
      <c r="H15" s="16" cm="1">
        <f t="array" ref="H15">N_d_1(BA,Strike,TT,god,Vola,riskrate)</f>
        <v>0.72788332778663412</v>
      </c>
      <c r="I15" s="4"/>
      <c r="J15" s="4"/>
      <c r="K15" s="62"/>
      <c r="S15" s="66"/>
      <c r="Z15" s="62"/>
      <c r="AG15" s="62"/>
    </row>
    <row r="16" spans="1:33" ht="17.25" customHeight="1">
      <c r="A16" s="64"/>
      <c r="B16" s="4"/>
      <c r="C16" s="37" t="s">
        <v>29</v>
      </c>
      <c r="D16" s="28">
        <v>1</v>
      </c>
      <c r="E16" s="4"/>
      <c r="F16" s="4"/>
      <c r="G16" s="15" t="s">
        <v>5</v>
      </c>
      <c r="H16" s="16" cm="1">
        <f t="array" ref="H16">N_d_2(BA,Strike,TT,god,Vola,riskrate)</f>
        <v>0.75297786744039952</v>
      </c>
      <c r="I16" s="4"/>
      <c r="J16" s="4"/>
      <c r="K16" s="62"/>
      <c r="S16" s="66"/>
      <c r="Z16" s="62"/>
      <c r="AG16" s="62"/>
    </row>
    <row r="17" spans="1:33">
      <c r="A17" s="64"/>
      <c r="B17" s="4"/>
      <c r="C17" s="4"/>
      <c r="D17" s="4"/>
      <c r="E17" s="4"/>
      <c r="F17" s="4"/>
      <c r="G17" s="4"/>
      <c r="H17" s="4"/>
      <c r="I17" s="4"/>
      <c r="J17" s="4"/>
      <c r="K17" s="62"/>
      <c r="S17" s="66"/>
      <c r="Z17" s="62"/>
      <c r="AG17" s="62"/>
    </row>
    <row r="18" spans="1:33" s="14" customFormat="1" ht="14.25" customHeight="1">
      <c r="A18" s="65"/>
      <c r="B18" s="11"/>
      <c r="C18" s="11"/>
      <c r="D18" s="11"/>
      <c r="E18" s="11"/>
      <c r="F18" s="11"/>
      <c r="G18" s="11"/>
      <c r="H18" s="11"/>
      <c r="I18" s="11"/>
      <c r="J18" s="11"/>
      <c r="K18" s="65"/>
      <c r="L18" s="11"/>
      <c r="M18" s="11"/>
      <c r="N18" s="11"/>
      <c r="O18" s="11"/>
      <c r="P18" s="11"/>
      <c r="Q18" s="11"/>
      <c r="R18" s="11"/>
      <c r="S18" s="66"/>
      <c r="T18" s="11"/>
      <c r="U18" s="11"/>
      <c r="V18" s="11"/>
      <c r="W18" s="11"/>
      <c r="X18" s="11"/>
      <c r="Y18" s="11"/>
      <c r="Z18" s="65"/>
      <c r="AA18" s="11"/>
      <c r="AB18" s="11"/>
      <c r="AC18" s="11"/>
      <c r="AD18" s="11"/>
      <c r="AE18" s="11"/>
      <c r="AF18" s="11"/>
      <c r="AG18" s="65"/>
    </row>
    <row r="19" spans="1:33">
      <c r="A19" s="62"/>
      <c r="B19" s="4"/>
      <c r="C19" s="4"/>
      <c r="D19" s="4"/>
      <c r="E19" s="4"/>
      <c r="F19" s="4"/>
      <c r="G19" s="4"/>
      <c r="H19" s="4"/>
      <c r="I19" s="4"/>
      <c r="J19" s="4"/>
      <c r="K19" s="62"/>
      <c r="S19" s="66"/>
      <c r="Z19" s="62"/>
      <c r="AG19" s="62"/>
    </row>
    <row r="20" spans="1:33">
      <c r="A20" s="62"/>
      <c r="B20" s="4"/>
      <c r="C20" s="4"/>
      <c r="D20" s="4"/>
      <c r="E20" s="4"/>
      <c r="F20" s="4"/>
      <c r="G20" s="4"/>
      <c r="H20" s="4"/>
      <c r="I20" s="4"/>
      <c r="J20" s="4"/>
      <c r="K20" s="62"/>
      <c r="S20" s="66"/>
      <c r="Z20" s="62"/>
      <c r="AG20" s="62"/>
    </row>
    <row r="21" spans="1:33">
      <c r="A21" s="62"/>
      <c r="B21" s="47" t="s">
        <v>40</v>
      </c>
      <c r="C21" s="47"/>
      <c r="D21" s="47"/>
      <c r="E21" s="47"/>
      <c r="F21" s="47"/>
      <c r="G21" s="47"/>
      <c r="H21" s="47"/>
      <c r="I21" s="47"/>
      <c r="J21" s="4"/>
      <c r="K21" s="62"/>
      <c r="S21" s="66"/>
      <c r="Z21" s="62"/>
      <c r="AG21" s="62"/>
    </row>
    <row r="22" spans="1:33">
      <c r="A22" s="62"/>
      <c r="B22" s="40"/>
      <c r="C22" s="43" t="s">
        <v>17</v>
      </c>
      <c r="D22" s="48" t="s">
        <v>16</v>
      </c>
      <c r="E22" s="49"/>
      <c r="F22" s="49"/>
      <c r="G22" s="49"/>
      <c r="H22" s="39"/>
      <c r="I22" s="39"/>
      <c r="J22" s="4"/>
      <c r="K22" s="62"/>
      <c r="S22" s="66"/>
      <c r="Z22" s="62"/>
      <c r="AG22" s="62"/>
    </row>
    <row r="23" spans="1:33">
      <c r="A23" s="62"/>
      <c r="B23" s="4"/>
      <c r="C23" s="46"/>
      <c r="D23" s="46"/>
      <c r="E23" s="46"/>
      <c r="F23" s="46"/>
      <c r="G23" s="46"/>
      <c r="H23" s="46"/>
      <c r="I23" s="46"/>
      <c r="J23" s="4"/>
      <c r="K23" s="62"/>
      <c r="S23" s="66"/>
      <c r="Z23" s="62"/>
      <c r="AG23" s="62"/>
    </row>
    <row r="24" spans="1:33">
      <c r="A24" s="62"/>
      <c r="B24" s="4"/>
      <c r="C24" s="36"/>
      <c r="D24" s="36"/>
      <c r="E24" s="36"/>
      <c r="F24" s="36"/>
      <c r="G24" s="36"/>
      <c r="H24" s="36"/>
      <c r="I24" s="36"/>
      <c r="J24" s="4"/>
      <c r="K24" s="62"/>
      <c r="S24" s="66"/>
      <c r="Z24" s="62"/>
      <c r="AG24" s="62"/>
    </row>
    <row r="25" spans="1:33">
      <c r="A25" s="62"/>
      <c r="B25" s="4"/>
      <c r="C25" s="45"/>
      <c r="D25" s="45"/>
      <c r="E25" s="45"/>
      <c r="F25" s="45"/>
      <c r="G25" s="45"/>
      <c r="H25" s="45"/>
      <c r="I25" s="45"/>
      <c r="J25" s="4"/>
      <c r="K25" s="62"/>
      <c r="S25" s="66"/>
      <c r="Z25" s="62"/>
      <c r="AG25" s="62"/>
    </row>
    <row r="26" spans="1:33">
      <c r="A26" s="62"/>
      <c r="B26" s="4"/>
      <c r="C26" s="45"/>
      <c r="D26" s="45"/>
      <c r="E26" s="45"/>
      <c r="F26" s="45"/>
      <c r="G26" s="45"/>
      <c r="H26" s="45"/>
      <c r="I26" s="45"/>
      <c r="J26" s="4"/>
      <c r="K26" s="62"/>
      <c r="S26" s="66"/>
      <c r="Z26" s="62"/>
      <c r="AG26" s="62"/>
    </row>
    <row r="27" spans="1:33">
      <c r="A27" s="62"/>
      <c r="B27" s="4"/>
      <c r="C27" s="35"/>
      <c r="D27" s="35"/>
      <c r="E27" s="35"/>
      <c r="F27" s="35"/>
      <c r="G27" s="35"/>
      <c r="H27" s="35"/>
      <c r="I27" s="35"/>
      <c r="J27" s="4"/>
      <c r="K27" s="62"/>
      <c r="S27" s="66"/>
      <c r="Z27" s="62"/>
      <c r="AG27" s="62"/>
    </row>
    <row r="28" spans="1:33">
      <c r="A28" s="62"/>
      <c r="B28" s="4"/>
      <c r="C28" s="35"/>
      <c r="D28" s="35"/>
      <c r="E28" s="35"/>
      <c r="F28" s="35"/>
      <c r="G28" s="35"/>
      <c r="H28" s="35"/>
      <c r="I28" s="35"/>
      <c r="J28" s="4"/>
      <c r="K28" s="62"/>
      <c r="S28" s="66"/>
      <c r="Z28" s="62"/>
      <c r="AG28" s="62"/>
    </row>
    <row r="29" spans="1:33">
      <c r="A29" s="62"/>
      <c r="B29" s="4"/>
      <c r="C29" s="4"/>
      <c r="D29" s="4"/>
      <c r="E29" s="4"/>
      <c r="F29" s="4"/>
      <c r="G29" s="4"/>
      <c r="H29" s="4"/>
      <c r="I29" s="4"/>
      <c r="J29" s="4"/>
      <c r="K29" s="62"/>
      <c r="S29" s="66"/>
      <c r="Z29" s="62"/>
      <c r="AG29" s="62"/>
    </row>
    <row r="30" spans="1:33">
      <c r="A30" s="62"/>
      <c r="B30" s="4"/>
      <c r="C30" s="4"/>
      <c r="D30" s="4"/>
      <c r="E30" s="4"/>
      <c r="F30" s="4"/>
      <c r="G30" s="4"/>
      <c r="H30" s="4"/>
      <c r="I30" s="4"/>
      <c r="J30" s="4"/>
      <c r="K30" s="62"/>
      <c r="S30" s="66"/>
      <c r="Z30" s="62"/>
      <c r="AG30" s="62"/>
    </row>
    <row r="31" spans="1:33">
      <c r="A31" s="62"/>
      <c r="B31" s="47"/>
      <c r="C31" s="47"/>
      <c r="D31" s="47"/>
      <c r="E31" s="47"/>
      <c r="F31" s="47"/>
      <c r="G31" s="47"/>
      <c r="H31" s="47"/>
      <c r="I31" s="47"/>
      <c r="J31" s="4"/>
      <c r="K31" s="62"/>
      <c r="S31" s="66"/>
      <c r="Z31" s="62"/>
      <c r="AG31" s="62"/>
    </row>
    <row r="32" spans="1:33">
      <c r="A32" s="62"/>
      <c r="B32" s="40"/>
      <c r="C32" s="43"/>
      <c r="D32" s="48"/>
      <c r="E32" s="49"/>
      <c r="F32" s="49"/>
      <c r="G32" s="49"/>
      <c r="H32" s="39"/>
      <c r="I32" s="39"/>
      <c r="J32" s="39"/>
      <c r="K32" s="62"/>
      <c r="S32" s="66"/>
      <c r="Z32" s="62"/>
      <c r="AG32" s="62"/>
    </row>
    <row r="33" spans="1:33">
      <c r="A33" s="62"/>
      <c r="B33" s="4"/>
      <c r="C33" s="4"/>
      <c r="D33" s="4"/>
      <c r="E33" s="4"/>
      <c r="F33" s="4"/>
      <c r="G33" s="4"/>
      <c r="H33" s="4"/>
      <c r="I33" s="4"/>
      <c r="J33" s="4"/>
      <c r="K33" s="62"/>
      <c r="S33" s="66"/>
      <c r="Z33" s="62"/>
      <c r="AG33" s="62"/>
    </row>
    <row r="34" spans="1:33">
      <c r="A34" s="62"/>
      <c r="B34" s="4"/>
      <c r="C34" s="4"/>
      <c r="D34" s="4"/>
      <c r="E34" s="4"/>
      <c r="F34" s="4"/>
      <c r="G34" s="4"/>
      <c r="H34" s="4"/>
      <c r="I34" s="4"/>
      <c r="J34" s="4"/>
      <c r="K34" s="62"/>
      <c r="S34" s="66"/>
      <c r="Z34" s="62"/>
      <c r="AG34" s="62"/>
    </row>
    <row r="35" spans="1:33">
      <c r="A35" s="62"/>
      <c r="B35" s="4"/>
      <c r="C35" s="4"/>
      <c r="D35" s="4"/>
      <c r="E35" s="4"/>
      <c r="F35" s="4"/>
      <c r="G35" s="4"/>
      <c r="H35" s="4"/>
      <c r="I35" s="4"/>
      <c r="J35" s="4"/>
      <c r="K35" s="62"/>
      <c r="S35" s="66"/>
      <c r="Z35" s="62"/>
      <c r="AG35" s="62"/>
    </row>
    <row r="36" spans="1:33">
      <c r="A36" s="62"/>
      <c r="B36" s="4"/>
      <c r="C36" s="4"/>
      <c r="D36" s="4"/>
      <c r="E36" s="4"/>
      <c r="F36" s="4"/>
      <c r="G36" s="4"/>
      <c r="H36" s="4"/>
      <c r="I36" s="4"/>
      <c r="J36" s="4"/>
      <c r="K36" s="62"/>
      <c r="S36" s="66"/>
      <c r="Z36" s="62"/>
      <c r="AG36" s="62"/>
    </row>
    <row r="37" spans="1:33" s="9" customFormat="1" ht="9" customHeight="1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6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</row>
    <row r="38" spans="1:33" s="9" customFormat="1">
      <c r="S38" s="17"/>
    </row>
    <row r="39" spans="1:33" s="9" customFormat="1">
      <c r="S39" s="17"/>
    </row>
    <row r="40" spans="1:33" s="9" customFormat="1">
      <c r="S40" s="17"/>
    </row>
    <row r="41" spans="1:33" s="9" customFormat="1">
      <c r="S41" s="17"/>
    </row>
    <row r="42" spans="1:33" s="9" customFormat="1" ht="28.5" customHeight="1">
      <c r="A42" s="18"/>
      <c r="B42" s="18"/>
      <c r="C42" s="19" t="s">
        <v>33</v>
      </c>
      <c r="D42" s="20" t="s">
        <v>19</v>
      </c>
      <c r="E42" s="20" t="s">
        <v>20</v>
      </c>
      <c r="F42" s="20" t="s">
        <v>38</v>
      </c>
      <c r="G42" s="20" t="s">
        <v>39</v>
      </c>
      <c r="H42" s="20" t="s">
        <v>24</v>
      </c>
      <c r="I42" s="20" t="s">
        <v>25</v>
      </c>
      <c r="J42" s="20"/>
      <c r="L42" s="18"/>
      <c r="M42" s="18"/>
      <c r="N42" s="19" t="s">
        <v>34</v>
      </c>
      <c r="O42" s="20" t="s">
        <v>19</v>
      </c>
      <c r="P42" s="20" t="s">
        <v>20</v>
      </c>
      <c r="Q42" s="44" t="str">
        <f>F42</f>
        <v>∆Call</v>
      </c>
      <c r="R42" s="44" t="str">
        <f>G42</f>
        <v>–∆Put</v>
      </c>
      <c r="S42" s="20" t="s">
        <v>24</v>
      </c>
      <c r="T42" s="20" t="s">
        <v>25</v>
      </c>
      <c r="U42" s="20" t="s">
        <v>35</v>
      </c>
      <c r="V42" s="18"/>
      <c r="W42" s="19" t="s">
        <v>36</v>
      </c>
      <c r="X42" s="19" t="s">
        <v>37</v>
      </c>
      <c r="Y42" s="20" t="s">
        <v>19</v>
      </c>
      <c r="Z42" s="20" t="s">
        <v>20</v>
      </c>
      <c r="AA42" s="44" t="str">
        <f>F42</f>
        <v>∆Call</v>
      </c>
      <c r="AB42" s="44" t="str">
        <f>G42</f>
        <v>–∆Put</v>
      </c>
      <c r="AC42" s="20" t="s">
        <v>24</v>
      </c>
      <c r="AD42" s="20" t="s">
        <v>25</v>
      </c>
    </row>
    <row r="43" spans="1:33" s="9" customFormat="1">
      <c r="A43" s="21">
        <v>10</v>
      </c>
      <c r="C43" s="22">
        <f t="shared" ref="C43:C52" si="0">IF(C$53-$D$15*A43&gt;0,C$53-$D$15*A43,10^(-10))</f>
        <v>0.16999999999999998</v>
      </c>
      <c r="D43" s="21" cm="1">
        <f t="array" ref="D43">OptionPrice(D$42,BA,Strike,TT,god,C43,riskrate)</f>
        <v>125.94810774584766</v>
      </c>
      <c r="E43" s="21" cm="1">
        <f t="array" ref="E43">OptionPrice(E$42,BA,Strike,TT,god,C43,riskrate)</f>
        <v>4994.5276907955413</v>
      </c>
      <c r="F43" s="23" cm="1">
        <f t="array" ref="F43">OptionDelta(D$42,BA,Strike,TT,god,C43,riskrate)</f>
        <v>8.2817087389646923E-2</v>
      </c>
      <c r="G43" s="23" cm="1">
        <f t="array" ref="G43">-OptionDelta(E$42,BA,Strike,TT,god,C43,riskrate)</f>
        <v>0.91718291261035312</v>
      </c>
      <c r="H43" s="21" cm="1">
        <f t="array" ref="H43">OptionVega(BA,Strike,TT,god,C43,riskrate)</f>
        <v>30.351904253124168</v>
      </c>
      <c r="I43" s="21" cm="1">
        <f t="array" ref="I43">OptionTheta(BA,Strike,TT,god,C43,riskrate)</f>
        <v>-16.124449134472215</v>
      </c>
      <c r="L43" s="21">
        <v>10</v>
      </c>
      <c r="N43" s="24">
        <f t="shared" ref="N43:N52" si="1">IF(N$53*(1-$D$13*L43)&gt;0,N$53*(1-$D$13*L43),10^(-10))</f>
        <v>80000</v>
      </c>
      <c r="O43" s="21" cm="1">
        <f t="array" ref="O43">OptionPrice(D$42,N43,Strike,TT,god,Vola,riskrate)</f>
        <v>4.2475126051460279</v>
      </c>
      <c r="P43" s="21" cm="1">
        <f t="array" ref="P43">OptionPrice(E$42,N43,Strike,TT,god,Vola,riskrate)</f>
        <v>19872.827095654837</v>
      </c>
      <c r="Q43" s="23" cm="1">
        <f t="array" ref="Q43">OptionDelta(D$42,N43,Strike,TT,god,Vola,riskrate)</f>
        <v>2.365517666684849E-3</v>
      </c>
      <c r="R43" s="23" cm="1">
        <f t="array" ref="R43">-OptionDelta(E$42,N43,Strike,TT,god,Vola,riskrate)</f>
        <v>0.9976344823333152</v>
      </c>
      <c r="S43" s="21" cm="1">
        <f t="array" ref="S43">OptionVega(N43,Strike,TT,god,Vola,riskrate)</f>
        <v>1.2364885017083298</v>
      </c>
      <c r="T43" s="21" cm="1">
        <f t="array" ref="T43">OptionTheta(N43,Strike,TT,god,Vola,riskrate)</f>
        <v>-1.4296898301002565</v>
      </c>
      <c r="V43" s="21">
        <v>10</v>
      </c>
      <c r="W43" s="29">
        <f t="shared" ref="W43:W52" si="2">W$53+$D$16*V43</f>
        <v>26</v>
      </c>
      <c r="X43" s="31">
        <f t="shared" ref="X43:X63" si="3">W43/god</f>
        <v>7.1232876712328766E-2</v>
      </c>
      <c r="Y43" s="21" cm="1">
        <f t="array" ref="Y43">OptionPrice(D$42,BA,Strike,W43,god,Vola,riskrate)</f>
        <v>1907.1822336870791</v>
      </c>
      <c r="Z43" s="21" cm="1">
        <f t="array" ref="Z43">OptionPrice(E$42,BA,Strike,W43,god,Vola,riskrate)</f>
        <v>6693.71177650959</v>
      </c>
      <c r="AA43" s="23" cm="1">
        <f t="array" ref="AA43">OptionDelta(D$42,BA,Strike,W43,god,Vola,riskrate)</f>
        <v>0.32693072910785281</v>
      </c>
      <c r="AB43" s="23" cm="1">
        <f t="array" ref="AB43">-OptionDelta(E$42,BA,Strike,W43,god,Vola,riskrate)</f>
        <v>0.67306927089214719</v>
      </c>
      <c r="AC43" s="21" cm="1">
        <f t="array" ref="AC43">OptionVega(BA,Strike,W43,god,Vola,riskrate)</f>
        <v>91.477207912641319</v>
      </c>
      <c r="AD43" s="21" cm="1">
        <f t="array" ref="AD43">OptionTheta(BA,Strike,W43,god,Vola,riskrate)</f>
        <v>-65.089551783994764</v>
      </c>
    </row>
    <row r="44" spans="1:33" s="9" customFormat="1">
      <c r="A44" s="21">
        <v>9</v>
      </c>
      <c r="C44" s="22">
        <f t="shared" si="0"/>
        <v>0.19</v>
      </c>
      <c r="D44" s="21" cm="1">
        <f t="array" ref="D44">OptionPrice(D$42,BA,Strike,TT,god,C44,riskrate)</f>
        <v>193.3963815360712</v>
      </c>
      <c r="E44" s="21" cm="1">
        <f t="array" ref="E44">OptionPrice(E$42,BA,Strike,TT,god,C44,riskrate)</f>
        <v>5061.9759645857703</v>
      </c>
      <c r="F44" s="23" cm="1">
        <f t="array" ref="F44">OptionDelta(D$42,BA,Strike,TT,god,C44,riskrate)</f>
        <v>0.10814220395368415</v>
      </c>
      <c r="G44" s="23" cm="1">
        <f t="array" ref="G44">-OptionDelta(E$42,BA,Strike,TT,god,C44,riskrate)</f>
        <v>0.89185779604631588</v>
      </c>
      <c r="H44" s="21" cm="1">
        <f t="array" ref="H44">OptionVega(BA,Strike,TT,god,C44,riskrate)</f>
        <v>36.945422690878701</v>
      </c>
      <c r="I44" s="21" cm="1">
        <f t="array" ref="I44">OptionTheta(BA,Strike,TT,god,C44,riskrate)</f>
        <v>-21.936344722709229</v>
      </c>
      <c r="L44" s="21">
        <v>9</v>
      </c>
      <c r="N44" s="24">
        <f t="shared" si="1"/>
        <v>82000</v>
      </c>
      <c r="O44" s="21" cm="1">
        <f t="array" ref="O44">OptionPrice(D$42,N44,Strike,TT,god,Vola,riskrate)</f>
        <v>12.211284390302353</v>
      </c>
      <c r="P44" s="21" cm="1">
        <f t="array" ref="P44">OptionPrice(E$42,N44,Strike,TT,god,Vola,riskrate)</f>
        <v>17880.79086744001</v>
      </c>
      <c r="Q44" s="23" cm="1">
        <f t="array" ref="Q44">OptionDelta(D$42,N44,Strike,TT,god,Vola,riskrate)</f>
        <v>6.1044629035444586E-3</v>
      </c>
      <c r="R44" s="23" cm="1">
        <f t="array" ref="R44">-OptionDelta(E$42,N44,Strike,TT,god,Vola,riskrate)</f>
        <v>0.99389553709645551</v>
      </c>
      <c r="S44" s="21" cm="1">
        <f t="array" ref="S44">OptionVega(N44,Strike,TT,god,Vola,riskrate)</f>
        <v>2.9641038751941546</v>
      </c>
      <c r="T44" s="21" cm="1">
        <f t="array" ref="T44">OptionTheta(N44,Strike,TT,god,Vola,riskrate)</f>
        <v>-3.4272451056932414</v>
      </c>
      <c r="V44" s="21">
        <v>9</v>
      </c>
      <c r="W44" s="29">
        <f t="shared" si="2"/>
        <v>25</v>
      </c>
      <c r="X44" s="31">
        <f t="shared" si="3"/>
        <v>6.8493150684931503E-2</v>
      </c>
      <c r="Y44" s="21" cm="1">
        <f t="array" ref="Y44">OptionPrice(D$42,BA,Strike,W44,god,Vola,riskrate)</f>
        <v>1839.2440571420411</v>
      </c>
      <c r="Z44" s="21" cm="1">
        <f t="array" ref="Z44">OptionPrice(E$42,BA,Strike,W44,god,Vola,riskrate)</f>
        <v>6633.9755695923668</v>
      </c>
      <c r="AA44" s="23" cm="1">
        <f t="array" ref="AA44">OptionDelta(D$42,BA,Strike,W44,god,Vola,riskrate)</f>
        <v>0.32273302706221751</v>
      </c>
      <c r="AB44" s="23" cm="1">
        <f t="array" ref="AB44">-OptionDelta(E$42,BA,Strike,W44,god,Vola,riskrate)</f>
        <v>0.67726697293778249</v>
      </c>
      <c r="AC44" s="21" cm="1">
        <f t="array" ref="AC44">OptionVega(BA,Strike,W44,god,Vola,riskrate)</f>
        <v>89.226718923170523</v>
      </c>
      <c r="AD44" s="21" cm="1">
        <f t="array" ref="AD44">OptionTheta(BA,Strike,W44,god,Vola,riskrate)</f>
        <v>-66.027772003146183</v>
      </c>
    </row>
    <row r="45" spans="1:33" s="9" customFormat="1">
      <c r="A45" s="21">
        <v>8</v>
      </c>
      <c r="C45" s="22">
        <f t="shared" si="0"/>
        <v>0.21</v>
      </c>
      <c r="D45" s="21" cm="1">
        <f t="array" ref="D45">OptionPrice(D$42,BA,Strike,TT,god,C45,riskrate)</f>
        <v>273.12121390582433</v>
      </c>
      <c r="E45" s="21" cm="1">
        <f t="array" ref="E45">OptionPrice(E$42,BA,Strike,TT,god,C45,riskrate)</f>
        <v>5141.700796955527</v>
      </c>
      <c r="F45" s="23" cm="1">
        <f t="array" ref="F45">OptionDelta(D$42,BA,Strike,TT,god,C45,riskrate)</f>
        <v>0.13248483903839339</v>
      </c>
      <c r="G45" s="23" cm="1">
        <f t="array" ref="G45">-OptionDelta(E$42,BA,Strike,TT,god,C45,riskrate)</f>
        <v>0.86751516096160664</v>
      </c>
      <c r="H45" s="21" cm="1">
        <f t="array" ref="H45">OptionVega(BA,Strike,TT,god,C45,riskrate)</f>
        <v>42.630367312781175</v>
      </c>
      <c r="I45" s="21" cm="1">
        <f t="array" ref="I45">OptionTheta(BA,Strike,TT,god,C45,riskrate)</f>
        <v>-27.976178549012648</v>
      </c>
      <c r="L45" s="21">
        <v>8</v>
      </c>
      <c r="N45" s="24">
        <f t="shared" si="1"/>
        <v>84000</v>
      </c>
      <c r="O45" s="21" cm="1">
        <f t="array" ref="O45">OptionPrice(D$42,N45,Strike,TT,god,Vola,riskrate)</f>
        <v>31.469541721513224</v>
      </c>
      <c r="P45" s="21" cm="1">
        <f t="array" ref="P45">OptionPrice(E$42,N45,Strike,TT,god,Vola,riskrate)</f>
        <v>15900.049124771205</v>
      </c>
      <c r="Q45" s="23" cm="1">
        <f t="array" ref="Q45">OptionDelta(D$42,N45,Strike,TT,god,Vola,riskrate)</f>
        <v>1.4082597453325969E-2</v>
      </c>
      <c r="R45" s="23" cm="1">
        <f t="array" ref="R45">-OptionDelta(E$42,N45,Strike,TT,god,Vola,riskrate)</f>
        <v>0.98591740254667404</v>
      </c>
      <c r="S45" s="21" cm="1">
        <f t="array" ref="S45">OptionVega(N45,Strike,TT,god,Vola,riskrate)</f>
        <v>6.3081687096105625</v>
      </c>
      <c r="T45" s="21" cm="1">
        <f t="array" ref="T45">OptionTheta(N45,Strike,TT,god,Vola,riskrate)</f>
        <v>-7.2938200704872136</v>
      </c>
      <c r="V45" s="21">
        <v>8</v>
      </c>
      <c r="W45" s="29">
        <f t="shared" si="2"/>
        <v>24</v>
      </c>
      <c r="X45" s="31">
        <f t="shared" si="3"/>
        <v>6.575342465753424E-2</v>
      </c>
      <c r="Y45" s="21" cm="1">
        <f t="array" ref="Y45">OptionPrice(D$42,BA,Strike,W45,god,Vola,riskrate)</f>
        <v>1770.3772785511064</v>
      </c>
      <c r="Z45" s="21" cm="1">
        <f t="array" ref="Z45">OptionPrice(E$42,BA,Strike,W45,god,Vola,riskrate)</f>
        <v>6573.3114347914016</v>
      </c>
      <c r="AA45" s="23" cm="1">
        <f t="array" ref="AA45">OptionDelta(D$42,BA,Strike,W45,god,Vola,riskrate)</f>
        <v>0.31832073435837804</v>
      </c>
      <c r="AB45" s="23" cm="1">
        <f t="array" ref="AB45">-OptionDelta(E$42,BA,Strike,W45,god,Vola,riskrate)</f>
        <v>0.68167926564162196</v>
      </c>
      <c r="AC45" s="21" cm="1">
        <f t="array" ref="AC45">OptionVega(BA,Strike,W45,god,Vola,riskrate)</f>
        <v>86.92284782204193</v>
      </c>
      <c r="AD45" s="21" cm="1">
        <f t="array" ref="AD45">OptionTheta(BA,Strike,W45,god,Vola,riskrate)</f>
        <v>-67.003028529490649</v>
      </c>
    </row>
    <row r="46" spans="1:33" s="9" customFormat="1">
      <c r="A46" s="21">
        <v>7</v>
      </c>
      <c r="C46" s="22">
        <f t="shared" si="0"/>
        <v>0.22999999999999998</v>
      </c>
      <c r="D46" s="21" cm="1">
        <f t="array" ref="D46">OptionPrice(D$42,BA,Strike,TT,god,C46,riskrate)</f>
        <v>363.34993913894505</v>
      </c>
      <c r="E46" s="21" cm="1">
        <f t="array" ref="E46">OptionPrice(E$42,BA,Strike,TT,god,C46,riskrate)</f>
        <v>5231.9295221886423</v>
      </c>
      <c r="F46" s="23" cm="1">
        <f t="array" ref="F46">OptionDelta(D$42,BA,Strike,TT,god,C46,riskrate)</f>
        <v>0.15534289384579431</v>
      </c>
      <c r="G46" s="23" cm="1">
        <f t="array" ref="G46">-OptionDelta(E$42,BA,Strike,TT,god,C46,riskrate)</f>
        <v>0.84465710615420564</v>
      </c>
      <c r="H46" s="21" cm="1">
        <f t="array" ref="H46">OptionVega(BA,Strike,TT,god,C46,riskrate)</f>
        <v>47.464878765573857</v>
      </c>
      <c r="I46" s="21" cm="1">
        <f t="array" ref="I46">OptionTheta(BA,Strike,TT,god,C46,riskrate)</f>
        <v>-34.11538161275621</v>
      </c>
      <c r="L46" s="21">
        <v>7</v>
      </c>
      <c r="N46" s="24">
        <f t="shared" si="1"/>
        <v>86000</v>
      </c>
      <c r="O46" s="21" cm="1">
        <f t="array" ref="O46">OptionPrice(D$42,N46,Strike,TT,god,Vola,riskrate)</f>
        <v>73.349592202783697</v>
      </c>
      <c r="P46" s="21" cm="1">
        <f t="array" ref="P46">OptionPrice(E$42,N46,Strike,TT,god,Vola,riskrate)</f>
        <v>13941.929175252488</v>
      </c>
      <c r="Q46" s="23" cm="1">
        <f t="array" ref="Q46">OptionDelta(D$42,N46,Strike,TT,god,Vola,riskrate)</f>
        <v>2.9296953696582025E-2</v>
      </c>
      <c r="R46" s="23" cm="1">
        <f t="array" ref="R46">-OptionDelta(E$42,N46,Strike,TT,god,Vola,riskrate)</f>
        <v>0.97070304630341797</v>
      </c>
      <c r="S46" s="21" cm="1">
        <f t="array" ref="S46">OptionVega(N46,Strike,TT,god,Vola,riskrate)</f>
        <v>12.012740035357144</v>
      </c>
      <c r="T46" s="21" cm="1">
        <f t="array" ref="T46">OptionTheta(N46,Strike,TT,god,Vola,riskrate)</f>
        <v>-13.889730665881698</v>
      </c>
      <c r="V46" s="21">
        <v>7</v>
      </c>
      <c r="W46" s="29">
        <f t="shared" si="2"/>
        <v>23</v>
      </c>
      <c r="X46" s="31">
        <f t="shared" si="3"/>
        <v>6.3013698630136991E-2</v>
      </c>
      <c r="Y46" s="21" cm="1">
        <f t="array" ref="Y46">OptionPrice(D$42,BA,Strike,W46,god,Vola,riskrate)</f>
        <v>1700.5455959166611</v>
      </c>
      <c r="Z46" s="21" cm="1">
        <f t="array" ref="Z46">OptionPrice(E$42,BA,Strike,W46,god,Vola,riskrate)</f>
        <v>6511.6830701645522</v>
      </c>
      <c r="AA46" s="23" cm="1">
        <f t="array" ref="AA46">OptionDelta(D$42,BA,Strike,W46,god,Vola,riskrate)</f>
        <v>0.31367358128628064</v>
      </c>
      <c r="AB46" s="23" cm="1">
        <f t="array" ref="AB46">-OptionDelta(E$42,BA,Strike,W46,god,Vola,riskrate)</f>
        <v>0.68632641871371936</v>
      </c>
      <c r="AC46" s="21" cm="1">
        <f t="array" ref="AC46">OptionVega(BA,Strike,W46,god,Vola,riskrate)</f>
        <v>84.561931206665122</v>
      </c>
      <c r="AD46" s="21" cm="1">
        <f t="array" ref="AD46">OptionTheta(BA,Strike,W46,god,Vola,riskrate)</f>
        <v>-68.017205535795839</v>
      </c>
    </row>
    <row r="47" spans="1:33" s="9" customFormat="1">
      <c r="A47" s="21">
        <v>6</v>
      </c>
      <c r="C47" s="22">
        <f t="shared" si="0"/>
        <v>0.25</v>
      </c>
      <c r="D47" s="21" cm="1">
        <f t="array" ref="D47">OptionPrice(D$42,BA,Strike,TT,god,C47,riskrate)</f>
        <v>462.48484749581621</v>
      </c>
      <c r="E47" s="21" cm="1">
        <f t="array" ref="E47">OptionPrice(E$42,BA,Strike,TT,god,C47,riskrate)</f>
        <v>5331.0644305455207</v>
      </c>
      <c r="F47" s="23" cm="1">
        <f t="array" ref="F47">OptionDelta(D$42,BA,Strike,TT,god,C47,riskrate)</f>
        <v>0.17653227757540321</v>
      </c>
      <c r="G47" s="23" cm="1">
        <f t="array" ref="G47">-OptionDelta(E$42,BA,Strike,TT,god,C47,riskrate)</f>
        <v>0.82346772242459676</v>
      </c>
      <c r="H47" s="21" cm="1">
        <f t="array" ref="H47">OptionVega(BA,Strike,TT,god,C47,riskrate)</f>
        <v>51.55571532255771</v>
      </c>
      <c r="I47" s="21" cm="1">
        <f t="array" ref="I47">OptionTheta(BA,Strike,TT,god,C47,riskrate)</f>
        <v>-40.277902595748209</v>
      </c>
      <c r="L47" s="21">
        <v>6</v>
      </c>
      <c r="N47" s="24">
        <f t="shared" si="1"/>
        <v>88000</v>
      </c>
      <c r="O47" s="21" cm="1">
        <f t="array" ref="O47">OptionPrice(D$42,N47,Strike,TT,god,Vola,riskrate)</f>
        <v>155.92760120280946</v>
      </c>
      <c r="P47" s="21" cm="1">
        <f t="array" ref="P47">OptionPrice(E$42,N47,Strike,TT,god,Vola,riskrate)</f>
        <v>12024.507184252521</v>
      </c>
      <c r="Q47" s="23" cm="1">
        <f t="array" ref="Q47">OptionDelta(D$42,N47,Strike,TT,god,Vola,riskrate)</f>
        <v>5.5416325112054535E-2</v>
      </c>
      <c r="R47" s="23" cm="1">
        <f t="array" ref="R47">-OptionDelta(E$42,N47,Strike,TT,god,Vola,riskrate)</f>
        <v>0.94458367488794548</v>
      </c>
      <c r="S47" s="21" cm="1">
        <f t="array" ref="S47">OptionVega(N47,Strike,TT,god,Vola,riskrate)</f>
        <v>20.618215130070549</v>
      </c>
      <c r="T47" s="21" cm="1">
        <f t="array" ref="T47">OptionTheta(N47,Strike,TT,god,Vola,riskrate)</f>
        <v>-23.839811244144073</v>
      </c>
      <c r="V47" s="21">
        <v>6</v>
      </c>
      <c r="W47" s="29">
        <f t="shared" si="2"/>
        <v>22</v>
      </c>
      <c r="X47" s="31">
        <f t="shared" si="3"/>
        <v>6.0273972602739728E-2</v>
      </c>
      <c r="Y47" s="21" cm="1">
        <f t="array" ref="Y47">OptionPrice(D$42,BA,Strike,W47,god,Vola,riskrate)</f>
        <v>1629.7109893971974</v>
      </c>
      <c r="Z47" s="21" cm="1">
        <f t="array" ref="Z47">OptionPrice(E$42,BA,Strike,W47,god,Vola,riskrate)</f>
        <v>6449.0524559257028</v>
      </c>
      <c r="AA47" s="23" cm="1">
        <f t="array" ref="AA47">OptionDelta(D$42,BA,Strike,W47,god,Vola,riskrate)</f>
        <v>0.3087684973395724</v>
      </c>
      <c r="AB47" s="23" cm="1">
        <f t="array" ref="AB47">-OptionDelta(E$42,BA,Strike,W47,god,Vola,riskrate)</f>
        <v>0.69123150266042765</v>
      </c>
      <c r="AC47" s="21" cm="1">
        <f t="array" ref="AC47">OptionVega(BA,Strike,W47,god,Vola,riskrate)</f>
        <v>82.139887404641598</v>
      </c>
      <c r="AD47" s="21" cm="1">
        <f t="array" ref="AD47">OptionTheta(BA,Strike,W47,god,Vola,riskrate)</f>
        <v>-69.072178044812247</v>
      </c>
    </row>
    <row r="48" spans="1:33" s="9" customFormat="1">
      <c r="A48" s="21">
        <v>5</v>
      </c>
      <c r="C48" s="22">
        <f t="shared" si="0"/>
        <v>0.27</v>
      </c>
      <c r="D48" s="21" cm="1">
        <f t="array" ref="D48">OptionPrice(D$42,BA,Strike,TT,god,C48,riskrate)</f>
        <v>569.15320393337606</v>
      </c>
      <c r="E48" s="21" cm="1">
        <f t="array" ref="E48">OptionPrice(E$42,BA,Strike,TT,god,C48,riskrate)</f>
        <v>5437.7327869830915</v>
      </c>
      <c r="F48" s="23" cm="1">
        <f t="array" ref="F48">OptionDelta(D$42,BA,Strike,TT,god,C48,riskrate)</f>
        <v>0.19604330159506053</v>
      </c>
      <c r="G48" s="23" cm="1">
        <f t="array" ref="G48">-OptionDelta(E$42,BA,Strike,TT,god,C48,riskrate)</f>
        <v>0.80395669840493944</v>
      </c>
      <c r="H48" s="21" cm="1">
        <f t="array" ref="H48">OptionVega(BA,Strike,TT,god,C48,riskrate)</f>
        <v>55.016798879042391</v>
      </c>
      <c r="I48" s="21" cm="1">
        <f t="array" ref="I48">OptionTheta(BA,Strike,TT,god,C48,riskrate)</f>
        <v>-46.420424054192019</v>
      </c>
      <c r="L48" s="21">
        <v>5</v>
      </c>
      <c r="N48" s="24">
        <f t="shared" si="1"/>
        <v>90000</v>
      </c>
      <c r="O48" s="21" cm="1">
        <f t="array" ref="O48">OptionPrice(D$42,N48,Strike,TT,god,Vola,riskrate)</f>
        <v>304.71892714911883</v>
      </c>
      <c r="P48" s="21" cm="1">
        <f t="array" ref="P48">OptionPrice(E$42,N48,Strike,TT,god,Vola,riskrate)</f>
        <v>10173.298510198831</v>
      </c>
      <c r="Q48" s="23" cm="1">
        <f t="array" ref="Q48">OptionDelta(D$42,N48,Strike,TT,god,Vola,riskrate)</f>
        <v>9.6054594147103281E-2</v>
      </c>
      <c r="R48" s="23" cm="1">
        <f t="array" ref="R48">-OptionDelta(E$42,N48,Strike,TT,god,Vola,riskrate)</f>
        <v>0.90394540585289673</v>
      </c>
      <c r="S48" s="21" cm="1">
        <f t="array" ref="S48">OptionVega(N48,Strike,TT,god,Vola,riskrate)</f>
        <v>32.108409873531322</v>
      </c>
      <c r="T48" s="21" cm="1">
        <f t="array" ref="T48">OptionTheta(N48,Strike,TT,god,Vola,riskrate)</f>
        <v>-37.125348916270589</v>
      </c>
      <c r="V48" s="21">
        <v>5</v>
      </c>
      <c r="W48" s="29">
        <f t="shared" si="2"/>
        <v>21</v>
      </c>
      <c r="X48" s="31">
        <f t="shared" si="3"/>
        <v>5.7534246575342465E-2</v>
      </c>
      <c r="Y48" s="21" cm="1">
        <f t="array" ref="Y48">OptionPrice(D$42,BA,Strike,W48,god,Vola,riskrate)</f>
        <v>1557.8337826212155</v>
      </c>
      <c r="Z48" s="21" cm="1">
        <f t="array" ref="Z48">OptionPrice(E$42,BA,Strike,W48,god,Vola,riskrate)</f>
        <v>6385.3799157588073</v>
      </c>
      <c r="AA48" s="23" cm="1">
        <f t="array" ref="AA48">OptionDelta(D$42,BA,Strike,W48,god,Vola,riskrate)</f>
        <v>0.30357909518254345</v>
      </c>
      <c r="AB48" s="23" cm="1">
        <f t="array" ref="AB48">-OptionDelta(E$42,BA,Strike,W48,god,Vola,riskrate)</f>
        <v>0.69642090481745655</v>
      </c>
      <c r="AC48" s="21" cm="1">
        <f t="array" ref="AC48">OptionVega(BA,Strike,W48,god,Vola,riskrate)</f>
        <v>79.652149448731137</v>
      </c>
      <c r="AD48" s="21" cm="1">
        <f t="array" ref="AD48">OptionTheta(BA,Strike,W48,god,Vola,riskrate)</f>
        <v>-70.16975070483457</v>
      </c>
    </row>
    <row r="49" spans="1:30" s="9" customFormat="1">
      <c r="A49" s="21">
        <v>4</v>
      </c>
      <c r="C49" s="22">
        <f t="shared" si="0"/>
        <v>0.28999999999999998</v>
      </c>
      <c r="D49" s="21" cm="1">
        <f t="array" ref="D49">OptionPrice(D$42,BA,Strike,TT,god,C49,riskrate)</f>
        <v>682.20216071582763</v>
      </c>
      <c r="E49" s="21" cm="1">
        <f t="array" ref="E49">OptionPrice(E$42,BA,Strike,TT,god,C49,riskrate)</f>
        <v>5550.7817437655176</v>
      </c>
      <c r="F49" s="23" cm="1">
        <f t="array" ref="F49">OptionDelta(D$42,BA,Strike,TT,god,C49,riskrate)</f>
        <v>0.21395503908788194</v>
      </c>
      <c r="G49" s="23" cm="1">
        <f t="array" ref="G49">-OptionDelta(E$42,BA,Strike,TT,god,C49,riskrate)</f>
        <v>0.78604496091211806</v>
      </c>
      <c r="H49" s="21" cm="1">
        <f t="array" ref="H49">OptionVega(BA,Strike,TT,god,C49,riskrate)</f>
        <v>57.952551890213037</v>
      </c>
      <c r="I49" s="21" cm="1">
        <f t="array" ref="I49">OptionTheta(BA,Strike,TT,god,C49,riskrate)</f>
        <v>-52.519500150505564</v>
      </c>
      <c r="L49" s="21">
        <v>4</v>
      </c>
      <c r="N49" s="24">
        <f t="shared" si="1"/>
        <v>92000</v>
      </c>
      <c r="O49" s="21" cm="1">
        <f t="array" ref="O49">OptionPrice(D$42,N49,Strike,TT,god,Vola,riskrate)</f>
        <v>551.54085601427323</v>
      </c>
      <c r="P49" s="21" cm="1">
        <f t="array" ref="P49">OptionPrice(E$42,N49,Strike,TT,god,Vola,riskrate)</f>
        <v>8420.1204390639759</v>
      </c>
      <c r="Q49" s="23" cm="1">
        <f t="array" ref="Q49">OptionDelta(D$42,N49,Strike,TT,god,Vola,riskrate)</f>
        <v>0.15371148016820249</v>
      </c>
      <c r="R49" s="23" cm="1">
        <f t="array" ref="R49">-OptionDelta(E$42,N49,Strike,TT,god,Vola,riskrate)</f>
        <v>0.84628851983179754</v>
      </c>
      <c r="S49" s="21" cm="1">
        <f t="array" ref="S49">OptionVega(N49,Strike,TT,god,Vola,riskrate)</f>
        <v>45.646336752722334</v>
      </c>
      <c r="T49" s="21" cm="1">
        <f t="array" ref="T49">OptionTheta(N49,Strike,TT,god,Vola,riskrate)</f>
        <v>-52.778576870335201</v>
      </c>
      <c r="V49" s="21">
        <v>4</v>
      </c>
      <c r="W49" s="29">
        <f t="shared" si="2"/>
        <v>20</v>
      </c>
      <c r="X49" s="31">
        <f t="shared" si="3"/>
        <v>5.4794520547945202E-2</v>
      </c>
      <c r="Y49" s="21" cm="1">
        <f t="array" ref="Y49">OptionPrice(D$42,BA,Strike,W49,god,Vola,riskrate)</f>
        <v>1484.8727843028719</v>
      </c>
      <c r="Z49" s="21" cm="1">
        <f t="array" ref="Z49">OptionPrice(E$42,BA,Strike,W49,god,Vola,riskrate)</f>
        <v>6320.6242584334104</v>
      </c>
      <c r="AA49" s="23" cm="1">
        <f t="array" ref="AA49">OptionDelta(D$42,BA,Strike,W49,god,Vola,riskrate)</f>
        <v>0.29807503446295136</v>
      </c>
      <c r="AB49" s="23" cm="1">
        <f t="array" ref="AB49">-OptionDelta(E$42,BA,Strike,W49,god,Vola,riskrate)</f>
        <v>0.70192496553704864</v>
      </c>
      <c r="AC49" s="21" cm="1">
        <f t="array" ref="AC49">OptionVega(BA,Strike,W49,god,Vola,riskrate)</f>
        <v>77.093584193952651</v>
      </c>
      <c r="AD49" s="21" cm="1">
        <f t="array" ref="AD49">OptionTheta(BA,Strike,W49,god,Vola,riskrate)</f>
        <v>-71.311565379406233</v>
      </c>
    </row>
    <row r="50" spans="1:30" s="9" customFormat="1">
      <c r="A50" s="21">
        <v>3</v>
      </c>
      <c r="C50" s="22">
        <f t="shared" si="0"/>
        <v>0.31</v>
      </c>
      <c r="D50" s="21" cm="1">
        <f t="array" ref="D50">OptionPrice(D$42,BA,Strike,TT,god,C50,riskrate)</f>
        <v>800.67335106043174</v>
      </c>
      <c r="E50" s="21" cm="1">
        <f t="array" ref="E50">OptionPrice(E$42,BA,Strike,TT,god,C50,riskrate)</f>
        <v>5669.2529341101326</v>
      </c>
      <c r="F50" s="23" cm="1">
        <f t="array" ref="F50">OptionDelta(D$42,BA,Strike,TT,god,C50,riskrate)</f>
        <v>0.23038666180576503</v>
      </c>
      <c r="G50" s="23" cm="1">
        <f t="array" ref="G50">-OptionDelta(E$42,BA,Strike,TT,god,C50,riskrate)</f>
        <v>0.76961333819423494</v>
      </c>
      <c r="H50" s="21" cm="1">
        <f t="array" ref="H50">OptionVega(BA,Strike,TT,god,C50,riskrate)</f>
        <v>60.452708945460351</v>
      </c>
      <c r="I50" s="21" cm="1">
        <f t="array" ref="I50">OptionTheta(BA,Strike,TT,god,C50,riskrate)</f>
        <v>-58.563561790914733</v>
      </c>
      <c r="L50" s="21">
        <v>3</v>
      </c>
      <c r="N50" s="24">
        <f t="shared" si="1"/>
        <v>94000</v>
      </c>
      <c r="O50" s="21" cm="1">
        <f t="array" ref="O50">OptionPrice(D$42,N50,Strike,TT,god,Vola,riskrate)</f>
        <v>931.20420465476491</v>
      </c>
      <c r="P50" s="21" cm="1">
        <f t="array" ref="P50">OptionPrice(E$42,N50,Strike,TT,god,Vola,riskrate)</f>
        <v>6799.7837877044658</v>
      </c>
      <c r="Q50" s="23" cm="1">
        <f t="array" ref="Q50">OptionDelta(D$42,N50,Strike,TT,god,Vola,riskrate)</f>
        <v>0.22873302862155279</v>
      </c>
      <c r="R50" s="23" cm="1">
        <f t="array" ref="R50">-OptionDelta(E$42,N50,Strike,TT,god,Vola,riskrate)</f>
        <v>0.77126697137844724</v>
      </c>
      <c r="S50" s="21" cm="1">
        <f t="array" ref="S50">OptionVega(N50,Strike,TT,god,Vola,riskrate)</f>
        <v>59.575436668382025</v>
      </c>
      <c r="T50" s="21" cm="1">
        <f t="array" ref="T50">OptionTheta(N50,Strike,TT,god,Vola,riskrate)</f>
        <v>-68.884098647816714</v>
      </c>
      <c r="V50" s="21">
        <v>3</v>
      </c>
      <c r="W50" s="29">
        <f t="shared" si="2"/>
        <v>19</v>
      </c>
      <c r="X50" s="31">
        <f t="shared" si="3"/>
        <v>5.2054794520547946E-2</v>
      </c>
      <c r="Y50" s="21" cm="1">
        <f t="array" ref="Y50">OptionPrice(D$42,BA,Strike,W50,god,Vola,riskrate)</f>
        <v>1410.7855493598399</v>
      </c>
      <c r="Z50" s="21" cm="1">
        <f t="array" ref="Z50">OptionPrice(E$42,BA,Strike,W50,god,Vola,riskrate)</f>
        <v>6254.7430389225919</v>
      </c>
      <c r="AA50" s="23" cm="1">
        <f t="array" ref="AA50">OptionDelta(D$42,BA,Strike,W50,god,Vola,riskrate)</f>
        <v>0.29222123138503431</v>
      </c>
      <c r="AB50" s="23" cm="1">
        <f t="array" ref="AB50">-OptionDelta(E$42,BA,Strike,W50,god,Vola,riskrate)</f>
        <v>0.70777876861496569</v>
      </c>
      <c r="AC50" s="21" cm="1">
        <f t="array" ref="AC50">OptionVega(BA,Strike,W50,god,Vola,riskrate)</f>
        <v>74.458394078715386</v>
      </c>
      <c r="AD50" s="21" cm="1">
        <f t="array" ref="AD50">OptionTheta(BA,Strike,W50,god,Vola,riskrate)</f>
        <v>-72.498962655591299</v>
      </c>
    </row>
    <row r="51" spans="1:30" s="9" customFormat="1">
      <c r="A51" s="21">
        <v>2</v>
      </c>
      <c r="C51" s="22">
        <f t="shared" si="0"/>
        <v>0.33</v>
      </c>
      <c r="D51" s="21" cm="1">
        <f t="array" ref="D51">OptionPrice(D$42,BA,Strike,TT,god,C51,riskrate)</f>
        <v>923.77274306869367</v>
      </c>
      <c r="E51" s="21" cm="1">
        <f t="array" ref="E51">OptionPrice(E$42,BA,Strike,TT,god,C51,riskrate)</f>
        <v>5792.3523261184018</v>
      </c>
      <c r="F51" s="23" cm="1">
        <f t="array" ref="F51">OptionDelta(D$42,BA,Strike,TT,god,C51,riskrate)</f>
        <v>0.24547075985730071</v>
      </c>
      <c r="G51" s="23" cm="1">
        <f t="array" ref="G51">-OptionDelta(E$42,BA,Strike,TT,god,C51,riskrate)</f>
        <v>0.75452924014269929</v>
      </c>
      <c r="H51" s="21" cm="1">
        <f t="array" ref="H51">OptionVega(BA,Strike,TT,god,C51,riskrate)</f>
        <v>62.592037948901435</v>
      </c>
      <c r="I51" s="21" cm="1">
        <f t="array" ref="I51">OptionTheta(BA,Strike,TT,god,C51,riskrate)</f>
        <v>-64.548039134804611</v>
      </c>
      <c r="L51" s="21">
        <v>2</v>
      </c>
      <c r="N51" s="24">
        <f t="shared" si="1"/>
        <v>96000</v>
      </c>
      <c r="O51" s="21" cm="1">
        <f t="array" ref="O51">OptionPrice(D$42,N51,Strike,TT,god,Vola,riskrate)</f>
        <v>1476.515793723207</v>
      </c>
      <c r="P51" s="21" cm="1">
        <f t="array" ref="P51">OptionPrice(E$42,N51,Strike,TT,god,Vola,riskrate)</f>
        <v>5345.0953767729006</v>
      </c>
      <c r="Q51" s="23" cm="1">
        <f t="array" ref="Q51">OptionDelta(D$42,N51,Strike,TT,god,Vola,riskrate)</f>
        <v>0.31873029449843271</v>
      </c>
      <c r="R51" s="23" cm="1">
        <f t="array" ref="R51">-OptionDelta(E$42,N51,Strike,TT,god,Vola,riskrate)</f>
        <v>0.68126970550156729</v>
      </c>
      <c r="S51" s="21" cm="1">
        <f t="array" ref="S51">OptionVega(N51,Strike,TT,god,Vola,riskrate)</f>
        <v>71.758124381337623</v>
      </c>
      <c r="T51" s="21" cm="1">
        <f t="array" ref="T51">OptionTheta(N51,Strike,TT,god,Vola,riskrate)</f>
        <v>-82.970331315921626</v>
      </c>
      <c r="V51" s="21">
        <v>2</v>
      </c>
      <c r="W51" s="29">
        <f t="shared" si="2"/>
        <v>18</v>
      </c>
      <c r="X51" s="31">
        <f t="shared" si="3"/>
        <v>4.9315068493150684E-2</v>
      </c>
      <c r="Y51" s="21" cm="1">
        <f t="array" ref="Y51">OptionPrice(D$42,BA,Strike,W51,god,Vola,riskrate)</f>
        <v>1335.528817495182</v>
      </c>
      <c r="Z51" s="21" cm="1">
        <f t="array" ref="Z51">OptionPrice(E$42,BA,Strike,W51,god,Vola,riskrate)</f>
        <v>6187.6929969849152</v>
      </c>
      <c r="AA51" s="23" cm="1">
        <f t="array" ref="AA51">OptionDelta(D$42,BA,Strike,W51,god,Vola,riskrate)</f>
        <v>0.28597686850890158</v>
      </c>
      <c r="AB51" s="23" cm="1">
        <f t="array" ref="AB51">-OptionDelta(E$42,BA,Strike,W51,god,Vola,riskrate)</f>
        <v>0.71402313149109842</v>
      </c>
      <c r="AC51" s="21" cm="1">
        <f t="array" ref="AC51">OptionVega(BA,Strike,W51,god,Vola,riskrate)</f>
        <v>71.739997004017056</v>
      </c>
      <c r="AD51" s="21" cm="1">
        <f t="array" ref="AD51">OptionTheta(BA,Strike,W51,god,Vola,riskrate)</f>
        <v>-73.732774698573053</v>
      </c>
    </row>
    <row r="52" spans="1:30" s="9" customFormat="1">
      <c r="A52" s="21">
        <v>1</v>
      </c>
      <c r="C52" s="22">
        <f t="shared" si="0"/>
        <v>0.35</v>
      </c>
      <c r="D52" s="21" cm="1">
        <f t="array" ref="D52">OptionPrice(D$42,BA,Strike,TT,god,C52,riskrate)</f>
        <v>1050.8421201122037</v>
      </c>
      <c r="E52" s="21" cm="1">
        <f t="array" ref="E52">OptionPrice(E$42,BA,Strike,TT,god,C52,riskrate)</f>
        <v>5919.4217031619046</v>
      </c>
      <c r="F52" s="23" cm="1">
        <f t="array" ref="F52">OptionDelta(D$42,BA,Strike,TT,god,C52,riskrate)</f>
        <v>0.25933929563299551</v>
      </c>
      <c r="G52" s="23" cm="1">
        <f t="array" ref="G52">-OptionDelta(E$42,BA,Strike,TT,god,C52,riskrate)</f>
        <v>0.74066070436700449</v>
      </c>
      <c r="H52" s="21" cm="1">
        <f t="array" ref="H52">OptionVega(BA,Strike,TT,god,C52,riskrate)</f>
        <v>64.431916165952728</v>
      </c>
      <c r="I52" s="21" cm="1">
        <f t="array" ref="I52">OptionTheta(BA,Strike,TT,god,C52,riskrate)</f>
        <v>-70.472408306510815</v>
      </c>
      <c r="L52" s="21">
        <v>1</v>
      </c>
      <c r="N52" s="24">
        <f t="shared" si="1"/>
        <v>98000</v>
      </c>
      <c r="O52" s="21" cm="1">
        <f t="array" ref="O52">OptionPrice(D$42,N52,Strike,TT,god,Vola,riskrate)</f>
        <v>2212.8471594237126</v>
      </c>
      <c r="P52" s="21" cm="1">
        <f t="array" ref="P52">OptionPrice(E$42,N52,Strike,TT,god,Vola,riskrate)</f>
        <v>4081.4267424734135</v>
      </c>
      <c r="Q52" s="23" cm="1">
        <f t="array" ref="Q52">OptionDelta(D$42,N52,Strike,TT,god,Vola,riskrate)</f>
        <v>0.4187537433312552</v>
      </c>
      <c r="R52" s="23" cm="1">
        <f t="array" ref="R52">-OptionDelta(E$42,N52,Strike,TT,god,Vola,riskrate)</f>
        <v>0.58124625666874485</v>
      </c>
      <c r="S52" s="21" cm="1">
        <f t="array" ref="S52">OptionVega(N52,Strike,TT,god,Vola,riskrate)</f>
        <v>80.152434995114945</v>
      </c>
      <c r="T52" s="21" cm="1">
        <f t="array" ref="T52">OptionTheta(N52,Strike,TT,god,Vola,riskrate)</f>
        <v>-92.676252963101675</v>
      </c>
      <c r="V52" s="21">
        <v>1</v>
      </c>
      <c r="W52" s="29">
        <f t="shared" si="2"/>
        <v>17</v>
      </c>
      <c r="X52" s="31">
        <f t="shared" si="3"/>
        <v>4.6575342465753428E-2</v>
      </c>
      <c r="Y52" s="21" cm="1">
        <f t="array" ref="Y52">OptionPrice(D$42,BA,Strike,W52,god,Vola,riskrate)</f>
        <v>1259.0592157824394</v>
      </c>
      <c r="Z52" s="21" cm="1">
        <f t="array" ref="Z52">OptionPrice(E$42,BA,Strike,W52,god,Vola,riskrate)</f>
        <v>6119.4307597493462</v>
      </c>
      <c r="AA52" s="23" cm="1">
        <f t="array" ref="AA52">OptionDelta(D$42,BA,Strike,W52,god,Vola,riskrate)</f>
        <v>0.27929414336156722</v>
      </c>
      <c r="AB52" s="23" cm="1">
        <f t="array" ref="AB52">-OptionDelta(E$42,BA,Strike,W52,god,Vola,riskrate)</f>
        <v>0.72070585663843278</v>
      </c>
      <c r="AC52" s="21" cm="1">
        <f t="array" ref="AC52">OptionVega(BA,Strike,W52,god,Vola,riskrate)</f>
        <v>68.930878445684172</v>
      </c>
      <c r="AD52" s="21" cm="1">
        <f t="array" ref="AD52">OptionTheta(BA,Strike,W52,god,Vola,riskrate)</f>
        <v>-75.013014779126891</v>
      </c>
    </row>
    <row r="53" spans="1:30" s="9" customFormat="1">
      <c r="A53" s="21">
        <v>0</v>
      </c>
      <c r="C53" s="25">
        <f>Vola</f>
        <v>0.37</v>
      </c>
      <c r="D53" s="21" cm="1">
        <f t="array" ref="D53">OptionPrice(D$42,BA,Strike,TT,god,C53,riskrate)</f>
        <v>1181.3343559666464</v>
      </c>
      <c r="E53" s="21" cm="1">
        <f t="array" ref="E53">OptionPrice(E$42,BA,Strike,TT,god,C53,riskrate)</f>
        <v>6049.9139390163473</v>
      </c>
      <c r="F53" s="23" cm="1">
        <f t="array" ref="F53">OptionDelta(D$42,BA,Strike,TT,god,C53,riskrate)</f>
        <v>0.27211667221336588</v>
      </c>
      <c r="G53" s="23" cm="1">
        <f t="array" ref="G53">-OptionDelta(E$42,BA,Strike,TT,god,C53,riskrate)</f>
        <v>0.72788332778663412</v>
      </c>
      <c r="H53" s="21" cm="1">
        <f t="array" ref="H53">OptionVega(BA,Strike,TT,god,C53,riskrate)</f>
        <v>66.022408121099431</v>
      </c>
      <c r="I53" s="21" cm="1">
        <f t="array" ref="I53">OptionTheta(BA,Strike,TT,god,C53,riskrate)</f>
        <v>-76.338409390021212</v>
      </c>
      <c r="L53" s="21">
        <v>0</v>
      </c>
      <c r="N53" s="26">
        <f>Strike</f>
        <v>100000</v>
      </c>
      <c r="O53" s="21" cm="1">
        <f t="array" ref="O53">OptionPrice(D$42,N53,Strike,TT,god,Vola,riskrate)</f>
        <v>3153.8278565989021</v>
      </c>
      <c r="P53" s="21" cm="1">
        <f t="array" ref="P53">OptionPrice(E$42,N53,Strike,TT,god,Vola,riskrate)</f>
        <v>3022.4074396486103</v>
      </c>
      <c r="Q53" s="23" cm="1">
        <f t="array" ref="Q53">OptionDelta(D$42,N53,Strike,TT,god,Vola,riskrate)</f>
        <v>0.52221329720047227</v>
      </c>
      <c r="R53" s="23" cm="1">
        <f t="array" ref="R53">-OptionDelta(E$42,N53,Strike,TT,god,Vola,riskrate)</f>
        <v>0.47778670279952773</v>
      </c>
      <c r="S53" s="21" cm="1">
        <f t="array" ref="S53">OptionVega(N53,Strike,TT,god,Vola,riskrate)</f>
        <v>83.396860777276459</v>
      </c>
      <c r="T53" s="21" cm="1">
        <f t="array" ref="T53">OptionTheta(N53,Strike,TT,god,Vola,riskrate)</f>
        <v>-96.427620273725907</v>
      </c>
      <c r="V53" s="21">
        <v>0</v>
      </c>
      <c r="W53" s="30">
        <f>TT</f>
        <v>16</v>
      </c>
      <c r="X53" s="31">
        <f t="shared" si="3"/>
        <v>4.3835616438356165E-2</v>
      </c>
      <c r="Y53" s="21" cm="1">
        <f t="array" ref="Y53">OptionPrice(D$42,BA,Strike,W53,god,Vola,riskrate)</f>
        <v>1181.3343559666464</v>
      </c>
      <c r="Z53" s="21" cm="1">
        <f t="array" ref="Z53">OptionPrice(E$42,BA,Strike,W53,god,Vola,riskrate)</f>
        <v>6049.9139390163473</v>
      </c>
      <c r="AA53" s="23" cm="1">
        <f t="array" ref="AA53">OptionDelta(D$42,BA,Strike,W53,god,Vola,riskrate)</f>
        <v>0.27211667221336588</v>
      </c>
      <c r="AB53" s="23" cm="1">
        <f t="array" ref="AB53">-OptionDelta(E$42,BA,Strike,W53,god,Vola,riskrate)</f>
        <v>0.72788332778663412</v>
      </c>
      <c r="AC53" s="21" cm="1">
        <f t="array" ref="AC53">OptionVega(BA,Strike,W53,god,Vola,riskrate)</f>
        <v>66.022408121099431</v>
      </c>
      <c r="AD53" s="21" cm="1">
        <f t="array" ref="AD53">OptionTheta(BA,Strike,W53,god,Vola,riskrate)</f>
        <v>-76.338409390021212</v>
      </c>
    </row>
    <row r="54" spans="1:30" s="9" customFormat="1">
      <c r="A54" s="21">
        <v>1</v>
      </c>
      <c r="C54" s="22">
        <f t="shared" ref="C54:C63" si="4">C$53+$D$15*A54</f>
        <v>0.39</v>
      </c>
      <c r="D54" s="21" cm="1">
        <f t="array" ref="D54">OptionPrice(D$42,BA,Strike,TT,god,C54,riskrate)</f>
        <v>1314.7928436581242</v>
      </c>
      <c r="E54" s="21" cm="1">
        <f t="array" ref="E54">OptionPrice(E$42,BA,Strike,TT,god,C54,riskrate)</f>
        <v>6183.3724267078214</v>
      </c>
      <c r="F54" s="23" cm="1">
        <f t="array" ref="F54">OptionDelta(D$42,BA,Strike,TT,god,C54,riskrate)</f>
        <v>0.28391673656345273</v>
      </c>
      <c r="G54" s="23" cm="1">
        <f t="array" ref="G54">-OptionDelta(E$42,BA,Strike,TT,god,C54,riskrate)</f>
        <v>0.71608326343654727</v>
      </c>
      <c r="H54" s="21" cm="1">
        <f t="array" ref="H54">OptionVega(BA,Strike,TT,god,C54,riskrate)</f>
        <v>67.404287054464731</v>
      </c>
      <c r="I54" s="21" cm="1">
        <f t="array" ref="I54">OptionTheta(BA,Strike,TT,god,C54,riskrate)</f>
        <v>-82.148974847628907</v>
      </c>
      <c r="L54" s="21">
        <v>1</v>
      </c>
      <c r="N54" s="24">
        <f t="shared" ref="N54:N63" si="5">N$53*(1+$D$13*L54)</f>
        <v>102000</v>
      </c>
      <c r="O54" s="21" cm="1">
        <f t="array" ref="O54">OptionPrice(D$42,N54,Strike,TT,god,Vola,riskrate)</f>
        <v>4299.3795454332576</v>
      </c>
      <c r="P54" s="21" cm="1">
        <f t="array" ref="P54">OptionPrice(E$42,N54,Strike,TT,god,Vola,riskrate)</f>
        <v>2167.9591284829512</v>
      </c>
      <c r="Q54" s="23" cm="1">
        <f t="array" ref="Q54">OptionDelta(D$42,N54,Strike,TT,god,Vola,riskrate)</f>
        <v>0.62222768641024029</v>
      </c>
      <c r="R54" s="23" cm="1">
        <f t="array" ref="R54">-OptionDelta(E$42,N54,Strike,TT,god,Vola,riskrate)</f>
        <v>0.37777231358975971</v>
      </c>
      <c r="S54" s="21" cm="1">
        <f t="array" ref="S54">OptionVega(N54,Strike,TT,god,Vola,riskrate)</f>
        <v>81.16627021597273</v>
      </c>
      <c r="T54" s="21" cm="1">
        <f t="array" ref="T54">OptionTheta(N54,Strike,TT,god,Vola,riskrate)</f>
        <v>-93.848499937218477</v>
      </c>
      <c r="V54" s="21">
        <v>1</v>
      </c>
      <c r="W54" s="29">
        <f t="shared" ref="W54:W63" si="6">IF(W$53-$D$16*V54&gt;0,W$53-$D$16*V54,10^(-10))</f>
        <v>15</v>
      </c>
      <c r="X54" s="31">
        <f t="shared" si="3"/>
        <v>4.1095890410958902E-2</v>
      </c>
      <c r="Y54" s="21" cm="1">
        <f t="array" ref="Y54">OptionPrice(D$42,BA,Strike,W54,god,Vola,riskrate)</f>
        <v>1102.3145266086285</v>
      </c>
      <c r="Z54" s="21" cm="1">
        <f t="array" ref="Z54">OptionPrice(E$42,BA,Strike,W54,god,Vola,riskrate)</f>
        <v>5979.1028234022087</v>
      </c>
      <c r="AA54" s="23" cm="1">
        <f t="array" ref="AA54">OptionDelta(D$42,BA,Strike,W54,god,Vola,riskrate)</f>
        <v>0.2643774339928584</v>
      </c>
      <c r="AB54" s="23" cm="1">
        <f t="array" ref="AB54">-OptionDelta(E$42,BA,Strike,W54,god,Vola,riskrate)</f>
        <v>0.7356225660071416</v>
      </c>
      <c r="AC54" s="21" cm="1">
        <f t="array" ref="AC54">OptionVega(BA,Strike,W54,god,Vola,riskrate)</f>
        <v>63.00461118472883</v>
      </c>
      <c r="AD54" s="21" cm="1">
        <f t="array" ref="AD54">OptionTheta(BA,Strike,W54,god,Vola,riskrate)</f>
        <v>-77.705687127832221</v>
      </c>
    </row>
    <row r="55" spans="1:30" s="9" customFormat="1">
      <c r="A55" s="21">
        <v>2</v>
      </c>
      <c r="C55" s="22">
        <f t="shared" si="4"/>
        <v>0.41</v>
      </c>
      <c r="D55" s="21" cm="1">
        <f t="array" ref="D55">OptionPrice(D$42,BA,Strike,TT,god,C55,riskrate)</f>
        <v>1450.8347282699906</v>
      </c>
      <c r="E55" s="21" cm="1">
        <f t="array" ref="E55">OptionPrice(E$42,BA,Strike,TT,god,C55,riskrate)</f>
        <v>6319.4143113196915</v>
      </c>
      <c r="F55" s="23" cm="1">
        <f t="array" ref="F55">OptionDelta(D$42,BA,Strike,TT,god,C55,riskrate)</f>
        <v>0.29484190822057771</v>
      </c>
      <c r="G55" s="23" cm="1">
        <f t="array" ref="G55">-OptionDelta(E$42,BA,Strike,TT,god,C55,riskrate)</f>
        <v>0.70515809177942224</v>
      </c>
      <c r="H55" s="21" cm="1">
        <f t="array" ref="H55">OptionVega(BA,Strike,TT,god,C55,riskrate)</f>
        <v>68.61080136097371</v>
      </c>
      <c r="I55" s="21" cm="1">
        <f t="array" ref="I55">OptionTheta(BA,Strike,TT,god,C55,riskrate)</f>
        <v>-87.907589243747566</v>
      </c>
      <c r="L55" s="21">
        <v>2</v>
      </c>
      <c r="N55" s="24">
        <f t="shared" si="5"/>
        <v>104000</v>
      </c>
      <c r="O55" s="21" cm="1">
        <f t="array" ref="O55">OptionPrice(D$42,N55,Strike,TT,god,Vola,riskrate)</f>
        <v>5636.4942300601397</v>
      </c>
      <c r="P55" s="21" cm="1">
        <f t="array" ref="P55">OptionPrice(E$42,N55,Strike,TT,god,Vola,riskrate)</f>
        <v>1505.0738131098406</v>
      </c>
      <c r="Q55" s="23" cm="1">
        <f t="array" ref="Q55">OptionDelta(D$42,N55,Strike,TT,god,Vola,riskrate)</f>
        <v>0.71294208458017749</v>
      </c>
      <c r="R55" s="23" cm="1">
        <f t="array" ref="R55">-OptionDelta(E$42,N55,Strike,TT,god,Vola,riskrate)</f>
        <v>0.28705791541982251</v>
      </c>
      <c r="S55" s="21" cm="1">
        <f t="array" ref="S55">OptionVega(N55,Strike,TT,god,Vola,riskrate)</f>
        <v>74.177508773387729</v>
      </c>
      <c r="T55" s="21" cm="1">
        <f t="array" ref="T55">OptionTheta(N55,Strike,TT,god,Vola,riskrate)</f>
        <v>-85.767744519229552</v>
      </c>
      <c r="V55" s="21">
        <v>2</v>
      </c>
      <c r="W55" s="29">
        <f t="shared" si="6"/>
        <v>14</v>
      </c>
      <c r="X55" s="31">
        <f t="shared" si="3"/>
        <v>3.8356164383561646E-2</v>
      </c>
      <c r="Y55" s="21" cm="1">
        <f t="array" ref="Y55">OptionPrice(D$42,BA,Strike,W55,god,Vola,riskrate)</f>
        <v>1021.965291311426</v>
      </c>
      <c r="Z55" s="21" cm="1">
        <f t="array" ref="Z55">OptionPrice(E$42,BA,Strike,W55,god,Vola,riskrate)</f>
        <v>5906.9629765653808</v>
      </c>
      <c r="AA55" s="23" cm="1">
        <f t="array" ref="AA55">OptionDelta(D$42,BA,Strike,W55,god,Vola,riskrate)</f>
        <v>0.25599609472705476</v>
      </c>
      <c r="AB55" s="23" cm="1">
        <f t="array" ref="AB55">-OptionDelta(E$42,BA,Strike,W55,god,Vola,riskrate)</f>
        <v>0.74400390527294524</v>
      </c>
      <c r="AC55" s="21" cm="1">
        <f t="array" ref="AC55">OptionVega(BA,Strike,W55,god,Vola,riskrate)</f>
        <v>59.865880917737293</v>
      </c>
      <c r="AD55" s="21" cm="1">
        <f t="array" ref="AD55">OptionTheta(BA,Strike,W55,god,Vola,riskrate)</f>
        <v>-79.108485498438569</v>
      </c>
    </row>
    <row r="56" spans="1:30" s="9" customFormat="1">
      <c r="A56" s="21">
        <v>3</v>
      </c>
      <c r="C56" s="22">
        <f t="shared" si="4"/>
        <v>0.43</v>
      </c>
      <c r="D56" s="21" cm="1">
        <f t="array" ref="D56">OptionPrice(D$42,BA,Strike,TT,god,C56,riskrate)</f>
        <v>1589.1373750715356</v>
      </c>
      <c r="E56" s="21" cm="1">
        <f t="array" ref="E56">OptionPrice(E$42,BA,Strike,TT,god,C56,riskrate)</f>
        <v>6457.7169581212365</v>
      </c>
      <c r="F56" s="23" cm="1">
        <f t="array" ref="F56">OptionDelta(D$42,BA,Strike,TT,god,C56,riskrate)</f>
        <v>0.30498341238166138</v>
      </c>
      <c r="G56" s="23" cm="1">
        <f t="array" ref="G56">-OptionDelta(E$42,BA,Strike,TT,god,C56,riskrate)</f>
        <v>0.69501658761833862</v>
      </c>
      <c r="H56" s="21" cm="1">
        <f t="array" ref="H56">OptionVega(BA,Strike,TT,god,C56,riskrate)</f>
        <v>69.669143394397096</v>
      </c>
      <c r="I56" s="21" cm="1">
        <f t="array" ref="I56">OptionTheta(BA,Strike,TT,god,C56,riskrate)</f>
        <v>-93.617911436221121</v>
      </c>
      <c r="L56" s="21">
        <v>3</v>
      </c>
      <c r="N56" s="24">
        <f t="shared" si="5"/>
        <v>106000</v>
      </c>
      <c r="O56" s="21" cm="1">
        <f t="array" ref="O56">OptionPrice(D$42,N56,Strike,TT,god,Vola,riskrate)</f>
        <v>7142.27463849778</v>
      </c>
      <c r="P56" s="21" cm="1">
        <f t="array" ref="P56">OptionPrice(E$42,N56,Strike,TT,god,Vola,riskrate)</f>
        <v>1010.8542215474808</v>
      </c>
      <c r="Q56" s="23" cm="1">
        <f t="array" ref="Q56">OptionDelta(D$42,N56,Strike,TT,god,Vola,riskrate)</f>
        <v>0.79042274679097746</v>
      </c>
      <c r="R56" s="23" cm="1">
        <f t="array" ref="R56">-OptionDelta(E$42,N56,Strike,TT,god,Vola,riskrate)</f>
        <v>0.20957725320902254</v>
      </c>
      <c r="S56" s="21" cm="1">
        <f t="array" ref="S56">OptionVega(N56,Strike,TT,god,Vola,riskrate)</f>
        <v>63.885284876171774</v>
      </c>
      <c r="T56" s="21" cm="1">
        <f t="array" ref="T56">OptionTheta(N56,Strike,TT,god,Vola,riskrate)</f>
        <v>-73.867360638073606</v>
      </c>
      <c r="V56" s="21">
        <v>3</v>
      </c>
      <c r="W56" s="29">
        <f t="shared" si="6"/>
        <v>13</v>
      </c>
      <c r="X56" s="31">
        <f t="shared" si="3"/>
        <v>3.5616438356164383E-2</v>
      </c>
      <c r="Y56" s="21" cm="1">
        <f t="array" ref="Y56">OptionPrice(D$42,BA,Strike,W56,god,Vola,riskrate)</f>
        <v>940.26148583743634</v>
      </c>
      <c r="Z56" s="21" cm="1">
        <f t="array" ref="Z56">OptionPrice(E$42,BA,Strike,W56,god,Vola,riskrate)</f>
        <v>5833.4692343237839</v>
      </c>
      <c r="AA56" s="23" cm="1">
        <f t="array" ref="AA56">OptionDelta(D$42,BA,Strike,W56,god,Vola,riskrate)</f>
        <v>0.2468754893466602</v>
      </c>
      <c r="AB56" s="23" cm="1">
        <f t="array" ref="AB56">-OptionDelta(E$42,BA,Strike,W56,god,Vola,riskrate)</f>
        <v>0.75312451065333974</v>
      </c>
      <c r="AC56" s="21" cm="1">
        <f t="array" ref="AC56">OptionVega(BA,Strike,W56,god,Vola,riskrate)</f>
        <v>56.59261619336862</v>
      </c>
      <c r="AD56" s="21" cm="1">
        <f t="array" ref="AD56">OptionTheta(BA,Strike,W56,god,Vola,riskrate)</f>
        <v>-80.535646121332263</v>
      </c>
    </row>
    <row r="57" spans="1:30" s="9" customFormat="1">
      <c r="A57" s="21">
        <v>4</v>
      </c>
      <c r="C57" s="22">
        <f t="shared" si="4"/>
        <v>0.45</v>
      </c>
      <c r="D57" s="21" cm="1">
        <f t="array" ref="D57">OptionPrice(D$42,BA,Strike,TT,god,C57,riskrate)</f>
        <v>1729.4274915647984</v>
      </c>
      <c r="E57" s="21" cm="1">
        <f t="array" ref="E57">OptionPrice(E$42,BA,Strike,TT,god,C57,riskrate)</f>
        <v>6598.0070746144993</v>
      </c>
      <c r="F57" s="23" cm="1">
        <f t="array" ref="F57">OptionDelta(D$42,BA,Strike,TT,god,C57,riskrate)</f>
        <v>0.31442204631176857</v>
      </c>
      <c r="G57" s="23" cm="1">
        <f t="array" ref="G57">-OptionDelta(E$42,BA,Strike,TT,god,C57,riskrate)</f>
        <v>0.68557795368823138</v>
      </c>
      <c r="H57" s="21" cm="1">
        <f t="array" ref="H57">OptionVega(BA,Strike,TT,god,C57,riskrate)</f>
        <v>70.601640377552997</v>
      </c>
      <c r="I57" s="21" cm="1">
        <f t="array" ref="I57">OptionTheta(BA,Strike,TT,god,C57,riskrate)</f>
        <v>-99.283556780933935</v>
      </c>
      <c r="L57" s="21">
        <v>4</v>
      </c>
      <c r="N57" s="24">
        <f t="shared" si="5"/>
        <v>108000</v>
      </c>
      <c r="O57" s="21" cm="1">
        <f t="array" ref="O57">OptionPrice(D$42,N57,Strike,TT,god,Vola,riskrate)</f>
        <v>8788.1733504095173</v>
      </c>
      <c r="P57" s="21" cm="1">
        <f t="array" ref="P57">OptionPrice(E$42,N57,Strike,TT,god,Vola,riskrate)</f>
        <v>656.75293345921273</v>
      </c>
      <c r="Q57" s="23" cm="1">
        <f t="array" ref="Q57">OptionDelta(D$42,N57,Strike,TT,god,Vola,riskrate)</f>
        <v>0.85295266423249172</v>
      </c>
      <c r="R57" s="23" cm="1">
        <f t="array" ref="R57">-OptionDelta(E$42,N57,Strike,TT,god,Vola,riskrate)</f>
        <v>0.14704733576750828</v>
      </c>
      <c r="S57" s="21" cm="1">
        <f t="array" ref="S57">OptionVega(N57,Strike,TT,god,Vola,riskrate)</f>
        <v>52.025435524392094</v>
      </c>
      <c r="T57" s="21" cm="1">
        <f t="array" ref="T57">OptionTheta(N57,Strike,TT,god,Vola,riskrate)</f>
        <v>-60.154409825078361</v>
      </c>
      <c r="V57" s="21">
        <v>4</v>
      </c>
      <c r="W57" s="29">
        <f t="shared" si="6"/>
        <v>12</v>
      </c>
      <c r="X57" s="31">
        <f t="shared" si="3"/>
        <v>3.287671232876712E-2</v>
      </c>
      <c r="Y57" s="21" cm="1">
        <f t="array" ref="Y57">OptionPrice(D$42,BA,Strike,W57,god,Vola,riskrate)</f>
        <v>857.1934105916007</v>
      </c>
      <c r="Z57" s="21" cm="1">
        <f t="array" ref="Z57">OptionPrice(E$42,BA,Strike,W57,god,Vola,riskrate)</f>
        <v>5758.6118971377728</v>
      </c>
      <c r="AA57" s="23" cm="1">
        <f t="array" ref="AA57">OptionDelta(D$42,BA,Strike,W57,god,Vola,riskrate)</f>
        <v>0.23689694745515871</v>
      </c>
      <c r="AB57" s="23" cm="1">
        <f t="array" ref="AB57">-OptionDelta(E$42,BA,Strike,W57,god,Vola,riskrate)</f>
        <v>0.76310305254484123</v>
      </c>
      <c r="AC57" s="21" cm="1">
        <f t="array" ref="AC57">OptionVega(BA,Strike,W57,god,Vola,riskrate)</f>
        <v>53.168762962421987</v>
      </c>
      <c r="AD57" s="21" cm="1">
        <f t="array" ref="AD57">OptionTheta(BA,Strike,W57,god,Vola,riskrate)</f>
        <v>-81.96850956706723</v>
      </c>
    </row>
    <row r="58" spans="1:30" s="9" customFormat="1">
      <c r="A58" s="21">
        <v>5</v>
      </c>
      <c r="C58" s="22">
        <f t="shared" si="4"/>
        <v>0.47</v>
      </c>
      <c r="D58" s="21" cm="1">
        <f t="array" ref="D58">OptionPrice(D$42,BA,Strike,TT,god,C58,riskrate)</f>
        <v>1871.4723864425432</v>
      </c>
      <c r="E58" s="21" cm="1">
        <f t="array" ref="E58">OptionPrice(E$42,BA,Strike,TT,god,C58,riskrate)</f>
        <v>6740.0519694922405</v>
      </c>
      <c r="F58" s="23" cm="1">
        <f t="array" ref="F58">OptionDelta(D$42,BA,Strike,TT,god,C58,riskrate)</f>
        <v>0.3232291641572077</v>
      </c>
      <c r="G58" s="23" cm="1">
        <f t="array" ref="G58">-OptionDelta(E$42,BA,Strike,TT,god,C58,riskrate)</f>
        <v>0.6767708358427923</v>
      </c>
      <c r="H58" s="21" cm="1">
        <f t="array" ref="H58">OptionVega(BA,Strike,TT,god,C58,riskrate)</f>
        <v>71.426707654033578</v>
      </c>
      <c r="I58" s="21" cm="1">
        <f t="array" ref="I58">OptionTheta(BA,Strike,TT,god,C58,riskrate)</f>
        <v>-104.90797686686182</v>
      </c>
      <c r="L58" s="21">
        <v>5</v>
      </c>
      <c r="N58" s="24">
        <f t="shared" si="5"/>
        <v>110000.00000000001</v>
      </c>
      <c r="O58" s="21" cm="1">
        <f t="array" ref="O58">OptionPrice(D$42,N58,Strike,TT,god,Vola,riskrate)</f>
        <v>10544.256704683794</v>
      </c>
      <c r="P58" s="21" cm="1">
        <f t="array" ref="P58">OptionPrice(E$42,N58,Strike,TT,god,Vola,riskrate)</f>
        <v>412.83628773346936</v>
      </c>
      <c r="Q58" s="23" cm="1">
        <f t="array" ref="Q58">OptionDelta(D$42,N58,Strike,TT,god,Vola,riskrate)</f>
        <v>0.90078650586188513</v>
      </c>
      <c r="R58" s="23" cm="1">
        <f t="array" ref="R58">-OptionDelta(E$42,N58,Strike,TT,god,Vola,riskrate)</f>
        <v>9.9213494138114866E-2</v>
      </c>
      <c r="S58" s="21" cm="1">
        <f t="array" ref="S58">OptionVega(N58,Strike,TT,god,Vola,riskrate)</f>
        <v>40.185867506264387</v>
      </c>
      <c r="T58" s="21" cm="1">
        <f t="array" ref="T58">OptionTheta(N58,Strike,TT,god,Vola,riskrate)</f>
        <v>-46.464909304118208</v>
      </c>
      <c r="V58" s="21">
        <v>5</v>
      </c>
      <c r="W58" s="29">
        <f t="shared" si="6"/>
        <v>11</v>
      </c>
      <c r="X58" s="31">
        <f t="shared" si="3"/>
        <v>3.0136986301369864E-2</v>
      </c>
      <c r="Y58" s="21" cm="1">
        <f t="array" ref="Y58">OptionPrice(D$42,BA,Strike,W58,god,Vola,riskrate)</f>
        <v>772.77653620208002</v>
      </c>
      <c r="Z58" s="21" cm="1">
        <f t="array" ref="Z58">OptionPrice(E$42,BA,Strike,W58,god,Vola,riskrate)</f>
        <v>5682.4064356910094</v>
      </c>
      <c r="AA58" s="23" cm="1">
        <f t="array" ref="AA58">OptionDelta(D$42,BA,Strike,W58,god,Vola,riskrate)</f>
        <v>0.22591402375393327</v>
      </c>
      <c r="AB58" s="23" cm="1">
        <f t="array" ref="AB58">-OptionDelta(E$42,BA,Strike,W58,god,Vola,riskrate)</f>
        <v>0.77408597624606679</v>
      </c>
      <c r="AC58" s="21" cm="1">
        <f t="array" ref="AC58">OptionVega(BA,Strike,W58,god,Vola,riskrate)</f>
        <v>49.575235909531074</v>
      </c>
      <c r="AD58" s="21" cm="1">
        <f t="array" ref="AD58">OptionTheta(BA,Strike,W58,god,Vola,riskrate)</f>
        <v>-83.37653312057499</v>
      </c>
    </row>
    <row r="59" spans="1:30" s="9" customFormat="1">
      <c r="A59" s="21">
        <v>6</v>
      </c>
      <c r="C59" s="22">
        <f t="shared" si="4"/>
        <v>0.49</v>
      </c>
      <c r="D59" s="21" cm="1">
        <f t="array" ref="D59">OptionPrice(D$42,BA,Strike,TT,god,C59,riskrate)</f>
        <v>2015.0729333699237</v>
      </c>
      <c r="E59" s="21" cm="1">
        <f t="array" ref="E59">OptionPrice(E$42,BA,Strike,TT,god,C59,riskrate)</f>
        <v>6883.6525164196282</v>
      </c>
      <c r="F59" s="23" cm="1">
        <f t="array" ref="F59">OptionDelta(D$42,BA,Strike,TT,god,C59,riskrate)</f>
        <v>0.33146771073335146</v>
      </c>
      <c r="G59" s="23" cm="1">
        <f t="array" ref="G59">-OptionDelta(E$42,BA,Strike,TT,god,C59,riskrate)</f>
        <v>0.66853228926664854</v>
      </c>
      <c r="H59" s="21" cm="1">
        <f t="array" ref="H59">OptionVega(BA,Strike,TT,god,C59,riskrate)</f>
        <v>72.159607166519166</v>
      </c>
      <c r="I59" s="21" cm="1">
        <f t="array" ref="I59">OptionTheta(BA,Strike,TT,god,C59,riskrate)</f>
        <v>-110.49439847373249</v>
      </c>
      <c r="L59" s="21">
        <v>6</v>
      </c>
      <c r="N59" s="24">
        <f t="shared" si="5"/>
        <v>112000.00000000001</v>
      </c>
      <c r="O59" s="21" cm="1">
        <f t="array" ref="O59">OptionPrice(D$42,N59,Strike,TT,god,Vola,riskrate)</f>
        <v>12382.605772283539</v>
      </c>
      <c r="P59" s="21" cm="1">
        <f t="array" ref="P59">OptionPrice(E$42,N59,Strike,TT,god,Vola,riskrate)</f>
        <v>251.18535533321483</v>
      </c>
      <c r="Q59" s="23" cm="1">
        <f t="array" ref="Q59">OptionDelta(D$42,N59,Strike,TT,god,Vola,riskrate)</f>
        <v>0.93557377436167022</v>
      </c>
      <c r="R59" s="23" cm="1">
        <f t="array" ref="R59">-OptionDelta(E$42,N59,Strike,TT,god,Vola,riskrate)</f>
        <v>6.4426225638329782E-2</v>
      </c>
      <c r="S59" s="21" cm="1">
        <f t="array" ref="S59">OptionVega(N59,Strike,TT,god,Vola,riskrate)</f>
        <v>29.528421979090535</v>
      </c>
      <c r="T59" s="21" cm="1">
        <f t="array" ref="T59">OptionTheta(N59,Strike,TT,god,Vola,riskrate)</f>
        <v>-34.142237913323441</v>
      </c>
      <c r="V59" s="21">
        <v>6</v>
      </c>
      <c r="W59" s="29">
        <f t="shared" si="6"/>
        <v>10</v>
      </c>
      <c r="X59" s="31">
        <f t="shared" si="3"/>
        <v>2.7397260273972601E-2</v>
      </c>
      <c r="Y59" s="21" cm="1">
        <f t="array" ref="Y59">OptionPrice(D$42,BA,Strike,W59,god,Vola,riskrate)</f>
        <v>687.06696124974769</v>
      </c>
      <c r="Z59" s="21" cm="1">
        <f t="array" ref="Z59">OptionPrice(E$42,BA,Strike,W59,god,Vola,riskrate)</f>
        <v>5604.9089486198063</v>
      </c>
      <c r="AA59" s="23" cm="1">
        <f t="array" ref="AA59">OptionDelta(D$42,BA,Strike,W59,god,Vola,riskrate)</f>
        <v>0.21374402667647499</v>
      </c>
      <c r="AB59" s="23" cm="1">
        <f t="array" ref="AB59">-OptionDelta(E$42,BA,Strike,W59,god,Vola,riskrate)</f>
        <v>0.78625597332352504</v>
      </c>
      <c r="AC59" s="21" cm="1">
        <f t="array" ref="AC59">OptionVega(BA,Strike,W59,god,Vola,riskrate)</f>
        <v>45.789198289307066</v>
      </c>
      <c r="AD59" s="21" cm="1">
        <f t="array" ref="AD59">OptionTheta(BA,Strike,W59,god,Vola,riskrate)</f>
        <v>-84.71001683521807</v>
      </c>
    </row>
    <row r="60" spans="1:30" s="9" customFormat="1">
      <c r="A60" s="21">
        <v>7</v>
      </c>
      <c r="C60" s="22">
        <f t="shared" si="4"/>
        <v>0.51</v>
      </c>
      <c r="D60" s="21" cm="1">
        <f t="array" ref="D60">OptionPrice(D$42,BA,Strike,TT,god,C60,riskrate)</f>
        <v>2160.0578896691441</v>
      </c>
      <c r="E60" s="21" cm="1">
        <f t="array" ref="E60">OptionPrice(E$42,BA,Strike,TT,god,C60,riskrate)</f>
        <v>7028.6374727188377</v>
      </c>
      <c r="F60" s="23" cm="1">
        <f t="array" ref="F60">OptionDelta(D$42,BA,Strike,TT,god,C60,riskrate)</f>
        <v>0.33919321714992834</v>
      </c>
      <c r="G60" s="23" cm="1">
        <f t="array" ref="G60">-OptionDelta(E$42,BA,Strike,TT,god,C60,riskrate)</f>
        <v>0.66080678285007166</v>
      </c>
      <c r="H60" s="21" cm="1">
        <f t="array" ref="H60">OptionVega(BA,Strike,TT,god,C60,riskrate)</f>
        <v>72.813049825231516</v>
      </c>
      <c r="I60" s="21" cm="1">
        <f t="array" ref="I60">OptionTheta(BA,Strike,TT,god,C60,riskrate)</f>
        <v>-116.04579815896274</v>
      </c>
      <c r="L60" s="21">
        <v>7</v>
      </c>
      <c r="N60" s="24">
        <f t="shared" si="5"/>
        <v>114000.00000000001</v>
      </c>
      <c r="O60" s="21" cm="1">
        <f t="array" ref="O60">OptionPrice(D$42,N60,Strike,TT,god,Vola,riskrate)</f>
        <v>14279.436141737999</v>
      </c>
      <c r="P60" s="21" cm="1">
        <f t="array" ref="P60">OptionPrice(E$42,N60,Strike,TT,god,Vola,riskrate)</f>
        <v>148.01572478768776</v>
      </c>
      <c r="Q60" s="23" cm="1">
        <f t="array" ref="Q60">OptionDelta(D$42,N60,Strike,TT,god,Vola,riskrate)</f>
        <v>0.95969194702180671</v>
      </c>
      <c r="R60" s="23" cm="1">
        <f t="array" ref="R60">-OptionDelta(E$42,N60,Strike,TT,god,Vola,riskrate)</f>
        <v>4.0308052978193287E-2</v>
      </c>
      <c r="S60" s="21" cm="1">
        <f t="array" ref="S60">OptionVega(N60,Strike,TT,god,Vola,riskrate)</f>
        <v>20.696659810979142</v>
      </c>
      <c r="T60" s="21" cm="1">
        <f t="array" ref="T60">OptionTheta(N60,Strike,TT,god,Vola,riskrate)</f>
        <v>-23.930512906444637</v>
      </c>
      <c r="V60" s="21">
        <v>7</v>
      </c>
      <c r="W60" s="29">
        <f t="shared" si="6"/>
        <v>9</v>
      </c>
      <c r="X60" s="31">
        <f t="shared" si="3"/>
        <v>2.4657534246575342E-2</v>
      </c>
      <c r="Y60" s="21" cm="1">
        <f t="array" ref="Y60">OptionPrice(D$42,BA,Strike,W60,god,Vola,riskrate)</f>
        <v>600.18654405882262</v>
      </c>
      <c r="Z60" s="21" cm="1">
        <f t="array" ref="Z60">OptionPrice(E$42,BA,Strike,W60,god,Vola,riskrate)</f>
        <v>5526.2412943038944</v>
      </c>
      <c r="AA60" s="23" cm="1">
        <f t="array" ref="AA60">OptionDelta(D$42,BA,Strike,W60,god,Vola,riskrate)</f>
        <v>0.20015654627913487</v>
      </c>
      <c r="AB60" s="23" cm="1">
        <f t="array" ref="AB60">-OptionDelta(E$42,BA,Strike,W60,god,Vola,riskrate)</f>
        <v>0.79984345372086518</v>
      </c>
      <c r="AC60" s="21" cm="1">
        <f t="array" ref="AC60">OptionVega(BA,Strike,W60,god,Vola,riskrate)</f>
        <v>41.783196252980353</v>
      </c>
      <c r="AD60" s="21" cm="1">
        <f t="array" ref="AD60">OptionTheta(BA,Strike,W60,god,Vola,riskrate)</f>
        <v>-85.88768118668186</v>
      </c>
    </row>
    <row r="61" spans="1:30" s="9" customFormat="1">
      <c r="A61" s="21">
        <v>8</v>
      </c>
      <c r="C61" s="22">
        <f t="shared" si="4"/>
        <v>0.53</v>
      </c>
      <c r="D61" s="21" cm="1">
        <f t="array" ref="D61">OptionPrice(D$42,BA,Strike,TT,god,C61,riskrate)</f>
        <v>2306.2792911957295</v>
      </c>
      <c r="E61" s="21" cm="1">
        <f t="array" ref="E61">OptionPrice(E$42,BA,Strike,TT,god,C61,riskrate)</f>
        <v>7174.8588742454303</v>
      </c>
      <c r="F61" s="23" cm="1">
        <f t="array" ref="F61">OptionDelta(D$42,BA,Strike,TT,god,C61,riskrate)</f>
        <v>0.34645471729379651</v>
      </c>
      <c r="G61" s="23" cm="1">
        <f t="array" ref="G61">-OptionDelta(E$42,BA,Strike,TT,god,C61,riskrate)</f>
        <v>0.65354528270620349</v>
      </c>
      <c r="H61" s="21" cm="1">
        <f t="array" ref="H61">OptionVega(BA,Strike,TT,god,C61,riskrate)</f>
        <v>73.397674203418433</v>
      </c>
      <c r="I61" s="21" cm="1">
        <f t="array" ref="I61">OptionTheta(BA,Strike,TT,god,C61,riskrate)</f>
        <v>-121.5648978994118</v>
      </c>
      <c r="L61" s="21">
        <v>8</v>
      </c>
      <c r="N61" s="24">
        <f t="shared" si="5"/>
        <v>115999.99999999999</v>
      </c>
      <c r="O61" s="21" cm="1">
        <f t="array" ref="O61">OptionPrice(D$42,N61,Strike,TT,god,Vola,riskrate)</f>
        <v>16215.95514697842</v>
      </c>
      <c r="P61" s="21" cm="1">
        <f t="array" ref="P61">OptionPrice(E$42,N61,Strike,TT,god,Vola,riskrate)</f>
        <v>84.534730028133254</v>
      </c>
      <c r="Q61" s="23" cm="1">
        <f t="array" ref="Q61">OptionDelta(D$42,N61,Strike,TT,god,Vola,riskrate)</f>
        <v>0.97567397559300906</v>
      </c>
      <c r="R61" s="23" cm="1">
        <f t="array" ref="R61">-OptionDelta(E$42,N61,Strike,TT,god,Vola,riskrate)</f>
        <v>2.4326024406990943E-2</v>
      </c>
      <c r="S61" s="21" cm="1">
        <f t="array" ref="S61">OptionVega(N61,Strike,TT,god,Vola,riskrate)</f>
        <v>13.872705368480299</v>
      </c>
      <c r="T61" s="21" cm="1">
        <f t="array" ref="T61">OptionTheta(N61,Strike,TT,god,Vola,riskrate)</f>
        <v>-16.040315582305343</v>
      </c>
      <c r="V61" s="21">
        <v>8</v>
      </c>
      <c r="W61" s="29">
        <f t="shared" si="6"/>
        <v>8</v>
      </c>
      <c r="X61" s="31">
        <f t="shared" si="3"/>
        <v>2.1917808219178082E-2</v>
      </c>
      <c r="Y61" s="21" cm="1">
        <f t="array" ref="Y61">OptionPrice(D$42,BA,Strike,W61,god,Vola,riskrate)</f>
        <v>512.36481977971562</v>
      </c>
      <c r="Z61" s="21" cm="1">
        <f t="array" ref="Z61">OptionPrice(E$42,BA,Strike,W61,god,Vola,riskrate)</f>
        <v>5446.6330079491308</v>
      </c>
      <c r="AA61" s="23" cm="1">
        <f t="array" ref="AA61">OptionDelta(D$42,BA,Strike,W61,god,Vola,riskrate)</f>
        <v>0.18485806480519651</v>
      </c>
      <c r="AB61" s="23" cm="1">
        <f t="array" ref="AB61">-OptionDelta(E$42,BA,Strike,W61,god,Vola,riskrate)</f>
        <v>0.81514193519480349</v>
      </c>
      <c r="AC61" s="21" cm="1">
        <f t="array" ref="AC61">OptionVega(BA,Strike,W61,god,Vola,riskrate)</f>
        <v>37.524211315911671</v>
      </c>
      <c r="AD61" s="21" cm="1">
        <f t="array" ref="AD61">OptionTheta(BA,Strike,W61,god,Vola,riskrate)</f>
        <v>-86.774738668045742</v>
      </c>
    </row>
    <row r="62" spans="1:30" s="9" customFormat="1">
      <c r="A62" s="21">
        <v>9</v>
      </c>
      <c r="C62" s="22">
        <f t="shared" si="4"/>
        <v>0.55000000000000004</v>
      </c>
      <c r="D62" s="21" cm="1">
        <f t="array" ref="D62">OptionPrice(D$42,BA,Strike,TT,god,C62,riskrate)</f>
        <v>2453.6087032791547</v>
      </c>
      <c r="E62" s="21" cm="1">
        <f t="array" ref="E62">OptionPrice(E$42,BA,Strike,TT,god,C62,riskrate)</f>
        <v>7322.1882863288483</v>
      </c>
      <c r="F62" s="23" cm="1">
        <f t="array" ref="F62">OptionDelta(D$42,BA,Strike,TT,god,C62,riskrate)</f>
        <v>0.35329556966513442</v>
      </c>
      <c r="G62" s="23" cm="1">
        <f t="array" ref="G62">-OptionDelta(E$42,BA,Strike,TT,god,C62,riskrate)</f>
        <v>0.64670443033486558</v>
      </c>
      <c r="H62" s="21" cm="1">
        <f t="array" ref="H62">OptionVega(BA,Strike,TT,god,C62,riskrate)</f>
        <v>73.922427798656557</v>
      </c>
      <c r="I62" s="21" cm="1">
        <f t="array" ref="I62">OptionTheta(BA,Strike,TT,god,C62,riskrate)</f>
        <v>-127.05417277894098</v>
      </c>
      <c r="L62" s="21">
        <v>9</v>
      </c>
      <c r="N62" s="24">
        <f t="shared" si="5"/>
        <v>118000</v>
      </c>
      <c r="O62" s="21" cm="1">
        <f t="array" ref="O62">OptionPrice(D$42,N62,Strike,TT,god,Vola,riskrate)</f>
        <v>18178.251884293029</v>
      </c>
      <c r="P62" s="21" cm="1">
        <f t="array" ref="P62">OptionPrice(E$42,N62,Strike,TT,god,Vola,riskrate)</f>
        <v>46.831467342731457</v>
      </c>
      <c r="Q62" s="23" cm="1">
        <f t="array" ref="Q62">OptionDelta(D$42,N62,Strike,TT,god,Vola,riskrate)</f>
        <v>0.98582094353386951</v>
      </c>
      <c r="R62" s="23" cm="1">
        <f t="array" ref="R62">-OptionDelta(E$42,N62,Strike,TT,god,Vola,riskrate)</f>
        <v>1.4179056466130491E-2</v>
      </c>
      <c r="S62" s="21" cm="1">
        <f t="array" ref="S62">OptionVega(N62,Strike,TT,god,Vola,riskrate)</f>
        <v>8.9137511575532571</v>
      </c>
      <c r="T62" s="21" cm="1">
        <f t="array" ref="T62">OptionTheta(N62,Strike,TT,god,Vola,riskrate)</f>
        <v>-10.306524775920954</v>
      </c>
      <c r="V62" s="21">
        <v>9</v>
      </c>
      <c r="W62" s="29">
        <f t="shared" si="6"/>
        <v>7</v>
      </c>
      <c r="X62" s="31">
        <f t="shared" si="3"/>
        <v>1.9178082191780823E-2</v>
      </c>
      <c r="Y62" s="21" cm="1">
        <f t="array" ref="Y62">OptionPrice(D$42,BA,Strike,W62,god,Vola,riskrate)</f>
        <v>424.01111091211715</v>
      </c>
      <c r="Z62" s="21" cm="1">
        <f t="array" ref="Z62">OptionPrice(E$42,BA,Strike,W62,god,Vola,riskrate)</f>
        <v>5366.4934121107362</v>
      </c>
      <c r="AA62" s="23" cm="1">
        <f t="array" ref="AA62">OptionDelta(D$42,BA,Strike,W62,god,Vola,riskrate)</f>
        <v>0.16747209216800771</v>
      </c>
      <c r="AB62" s="23" cm="1">
        <f t="array" ref="AB62">-OptionDelta(E$42,BA,Strike,W62,god,Vola,riskrate)</f>
        <v>0.83252790783199226</v>
      </c>
      <c r="AC62" s="21" cm="1">
        <f t="array" ref="AC62">OptionVega(BA,Strike,W62,god,Vola,riskrate)</f>
        <v>32.972905611585482</v>
      </c>
      <c r="AD62" s="21" cm="1">
        <f t="array" ref="AD62">OptionTheta(BA,Strike,W62,god,Vola,riskrate)</f>
        <v>-87.142679116333071</v>
      </c>
    </row>
    <row r="63" spans="1:30" s="9" customFormat="1">
      <c r="A63" s="21">
        <v>10</v>
      </c>
      <c r="C63" s="22">
        <f t="shared" si="4"/>
        <v>0.57000000000000006</v>
      </c>
      <c r="D63" s="21" cm="1">
        <f t="array" ref="D63">OptionPrice(D$42,BA,Strike,TT,god,C63,riskrate)</f>
        <v>2601.9341544981253</v>
      </c>
      <c r="E63" s="21" cm="1">
        <f t="array" ref="E63">OptionPrice(E$42,BA,Strike,TT,god,C63,riskrate)</f>
        <v>7470.5137375478298</v>
      </c>
      <c r="F63" s="23" cm="1">
        <f t="array" ref="F63">OptionDelta(D$42,BA,Strike,TT,god,C63,riskrate)</f>
        <v>0.35975418271593629</v>
      </c>
      <c r="G63" s="23" cm="1">
        <f t="array" ref="G63">-OptionDelta(E$42,BA,Strike,TT,god,C63,riskrate)</f>
        <v>0.64024581728406371</v>
      </c>
      <c r="H63" s="21" cm="1">
        <f t="array" ref="H63">OptionVega(BA,Strike,TT,god,C63,riskrate)</f>
        <v>74.394871673156871</v>
      </c>
      <c r="I63" s="21" cm="1">
        <f t="array" ref="I63">OptionTheta(BA,Strike,TT,god,C63,riskrate)</f>
        <v>-132.51586516781072</v>
      </c>
      <c r="L63" s="21">
        <v>10</v>
      </c>
      <c r="N63" s="24">
        <f t="shared" si="5"/>
        <v>120000</v>
      </c>
      <c r="O63" s="21" cm="1">
        <f t="array" ref="O63">OptionPrice(D$42,N63,Strike,TT,god,Vola,riskrate)</f>
        <v>20156.609314700836</v>
      </c>
      <c r="P63" s="21" cm="1">
        <f t="array" ref="P63">OptionPrice(E$42,N63,Strike,TT,god,Vola,riskrate)</f>
        <v>25.188897750520255</v>
      </c>
      <c r="Q63" s="23" cm="1">
        <f t="array" ref="Q63">OptionDelta(D$42,N63,Strike,TT,god,Vola,riskrate)</f>
        <v>0.99200744930790508</v>
      </c>
      <c r="R63" s="23" cm="1">
        <f t="array" ref="R63">-OptionDelta(E$42,N63,Strike,TT,god,Vola,riskrate)</f>
        <v>7.9925506920949241E-3</v>
      </c>
      <c r="S63" s="21" cm="1">
        <f t="array" ref="S63">OptionVega(N63,Strike,TT,god,Vola,riskrate)</f>
        <v>5.5026394474582085</v>
      </c>
      <c r="T63" s="21" cm="1">
        <f t="array" ref="T63">OptionTheta(N63,Strike,TT,god,Vola,riskrate)</f>
        <v>-6.3624268611235539</v>
      </c>
      <c r="V63" s="21">
        <v>10</v>
      </c>
      <c r="W63" s="29">
        <f t="shared" si="6"/>
        <v>6</v>
      </c>
      <c r="X63" s="31">
        <f t="shared" si="3"/>
        <v>1.643835616438356E-2</v>
      </c>
      <c r="Y63" s="21" cm="1">
        <f t="array" ref="Y63">OptionPrice(D$42,BA,Strike,W63,god,Vola,riskrate)</f>
        <v>335.84323435485567</v>
      </c>
      <c r="Z63" s="21" cm="1">
        <f t="array" ref="Z63">OptionPrice(E$42,BA,Strike,W63,god,Vola,riskrate)</f>
        <v>5286.5403237429709</v>
      </c>
      <c r="AA63" s="23" cm="1">
        <f t="array" ref="AA63">OptionDelta(D$42,BA,Strike,W63,god,Vola,riskrate)</f>
        <v>0.14751657870182849</v>
      </c>
      <c r="AB63" s="23" cm="1">
        <f t="array" ref="AB63">-OptionDelta(E$42,BA,Strike,W63,god,Vola,riskrate)</f>
        <v>0.85248342129817156</v>
      </c>
      <c r="AC63" s="21" cm="1">
        <f t="array" ref="AC63">OptionVega(BA,Strike,W63,god,Vola,riskrate)</f>
        <v>28.083977149504676</v>
      </c>
      <c r="AD63" s="21" cm="1">
        <f t="array" ref="AD63">OptionTheta(BA,Strike,W63,god,Vola,riskrate)</f>
        <v>-86.592262877639413</v>
      </c>
    </row>
    <row r="64" spans="1:30" s="9" customFormat="1"/>
    <row r="65" s="9" customFormat="1"/>
    <row r="66" s="9" customFormat="1"/>
  </sheetData>
  <mergeCells count="22">
    <mergeCell ref="F9:G9"/>
    <mergeCell ref="B21:I21"/>
    <mergeCell ref="D22:G22"/>
    <mergeCell ref="AA2:AF2"/>
    <mergeCell ref="L2:Q2"/>
    <mergeCell ref="T2:Y2"/>
    <mergeCell ref="C25:I26"/>
    <mergeCell ref="C23:I23"/>
    <mergeCell ref="B31:I31"/>
    <mergeCell ref="D32:G32"/>
    <mergeCell ref="A2:A17"/>
    <mergeCell ref="C12:D12"/>
    <mergeCell ref="F4:G4"/>
    <mergeCell ref="F5:G5"/>
    <mergeCell ref="F6:G6"/>
    <mergeCell ref="F7:G7"/>
    <mergeCell ref="F8:G8"/>
    <mergeCell ref="C3:D3"/>
    <mergeCell ref="C2:I2"/>
    <mergeCell ref="F3:G3"/>
    <mergeCell ref="C13:C14"/>
    <mergeCell ref="D13:D14"/>
  </mergeCells>
  <hyperlinks>
    <hyperlink ref="D22" r:id="rId1" xr:uid="{14C21EF3-8272-49AF-B4F2-72235BF35E33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European Options BSM in VBA</vt:lpstr>
      <vt:lpstr>BA</vt:lpstr>
      <vt:lpstr>BaseAsset</vt:lpstr>
      <vt:lpstr>god</vt:lpstr>
      <vt:lpstr>riskrate</vt:lpstr>
      <vt:lpstr>Strike</vt:lpstr>
      <vt:lpstr>T</vt:lpstr>
      <vt:lpstr>TT</vt:lpstr>
      <vt:lpstr>TTday</vt:lpstr>
      <vt:lpstr>Vola</vt:lpstr>
    </vt:vector>
  </TitlesOfParts>
  <Company>mit.su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ivan@samkov.com</dc:creator>
  <cp:lastModifiedBy>Finam</cp:lastModifiedBy>
  <dcterms:created xsi:type="dcterms:W3CDTF">2014-11-26T09:08:04Z</dcterms:created>
  <dcterms:modified xsi:type="dcterms:W3CDTF">2022-07-24T03:52:00Z</dcterms:modified>
</cp:coreProperties>
</file>