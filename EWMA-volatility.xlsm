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nam\Downloads\"/>
    </mc:Choice>
  </mc:AlternateContent>
  <xr:revisionPtr revIDLastSave="0" documentId="13_ncr:1_{53B1C1B1-4F7F-4E4A-9F0F-066C205BB191}" xr6:coauthVersionLast="47" xr6:coauthVersionMax="47" xr10:uidLastSave="{00000000-0000-0000-0000-000000000000}"/>
  <bookViews>
    <workbookView xWindow="-25320" yWindow="360" windowWidth="24510" windowHeight="15990" xr2:uid="{453E1323-6431-4AB9-BEC2-1D6851EE409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1" l="1"/>
  <c r="G9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" i="1"/>
  <c r="F10" i="1" a="1"/>
  <c r="F12" i="1" a="1"/>
  <c r="F14" i="1" a="1"/>
  <c r="F16" i="1" a="1"/>
  <c r="F18" i="1" a="1"/>
  <c r="F20" i="1" a="1"/>
  <c r="F22" i="1" a="1"/>
  <c r="F24" i="1" a="1"/>
  <c r="F26" i="1" a="1"/>
  <c r="F28" i="1" a="1"/>
  <c r="F30" i="1" a="1"/>
  <c r="F32" i="1" a="1"/>
  <c r="F34" i="1" a="1"/>
  <c r="F36" i="1" a="1"/>
  <c r="F38" i="1" a="1"/>
  <c r="F40" i="1" a="1"/>
  <c r="F42" i="1" a="1"/>
  <c r="F44" i="1" a="1"/>
  <c r="F46" i="1" a="1"/>
  <c r="F48" i="1" a="1"/>
  <c r="F50" i="1" a="1"/>
  <c r="F52" i="1" a="1"/>
  <c r="F54" i="1" a="1"/>
  <c r="F56" i="1" a="1"/>
  <c r="F58" i="1" a="1"/>
  <c r="F60" i="1" a="1"/>
  <c r="F62" i="1" a="1"/>
  <c r="F64" i="1" a="1"/>
  <c r="F66" i="1" a="1"/>
  <c r="F68" i="1" a="1"/>
  <c r="F70" i="1" a="1"/>
  <c r="F72" i="1" a="1"/>
  <c r="F74" i="1" a="1"/>
  <c r="F76" i="1" a="1"/>
  <c r="F78" i="1" a="1"/>
  <c r="F80" i="1" a="1"/>
  <c r="F82" i="1" a="1"/>
  <c r="F84" i="1" a="1"/>
  <c r="F86" i="1" a="1"/>
  <c r="F88" i="1" a="1"/>
  <c r="F90" i="1" a="1"/>
  <c r="F92" i="1" a="1"/>
  <c r="F94" i="1" a="1"/>
  <c r="F96" i="1" a="1"/>
  <c r="F98" i="1" a="1"/>
  <c r="F100" i="1" a="1"/>
  <c r="F43" i="1" a="1"/>
  <c r="F61" i="1" a="1"/>
  <c r="F67" i="1" a="1"/>
  <c r="F71" i="1" a="1"/>
  <c r="F75" i="1" a="1"/>
  <c r="F79" i="1" a="1"/>
  <c r="F83" i="1" a="1"/>
  <c r="F87" i="1" a="1"/>
  <c r="F91" i="1" a="1"/>
  <c r="F95" i="1" a="1"/>
  <c r="F99" i="1" a="1"/>
  <c r="F11" i="1" a="1"/>
  <c r="F13" i="1" a="1"/>
  <c r="F15" i="1" a="1"/>
  <c r="F17" i="1" a="1"/>
  <c r="F19" i="1" a="1"/>
  <c r="F21" i="1" a="1"/>
  <c r="F23" i="1" a="1"/>
  <c r="F25" i="1" a="1"/>
  <c r="F27" i="1" a="1"/>
  <c r="F29" i="1" a="1"/>
  <c r="F31" i="1" a="1"/>
  <c r="F33" i="1" a="1"/>
  <c r="F35" i="1" a="1"/>
  <c r="F37" i="1" a="1"/>
  <c r="F39" i="1" a="1"/>
  <c r="F41" i="1" a="1"/>
  <c r="F45" i="1" a="1"/>
  <c r="F47" i="1" a="1"/>
  <c r="F49" i="1" a="1"/>
  <c r="F51" i="1" a="1"/>
  <c r="F53" i="1" a="1"/>
  <c r="F55" i="1" a="1"/>
  <c r="F57" i="1" a="1"/>
  <c r="F59" i="1" a="1"/>
  <c r="F63" i="1" a="1"/>
  <c r="F65" i="1" a="1"/>
  <c r="F69" i="1" a="1"/>
  <c r="F73" i="1" a="1"/>
  <c r="F77" i="1" a="1"/>
  <c r="F81" i="1" a="1"/>
  <c r="F85" i="1" a="1"/>
  <c r="F89" i="1" a="1"/>
  <c r="F93" i="1" a="1"/>
  <c r="F97" i="1" a="1"/>
  <c r="F101" i="1" a="1"/>
  <c r="F102" i="1" a="1"/>
  <c r="E31" i="1" a="1"/>
  <c r="E33" i="1" a="1"/>
  <c r="E35" i="1" a="1"/>
  <c r="E37" i="1" a="1"/>
  <c r="E39" i="1" a="1"/>
  <c r="E41" i="1" a="1"/>
  <c r="E43" i="1" a="1"/>
  <c r="E45" i="1" a="1"/>
  <c r="E47" i="1" a="1"/>
  <c r="E49" i="1" a="1"/>
  <c r="E51" i="1" a="1"/>
  <c r="E53" i="1" a="1"/>
  <c r="E55" i="1" a="1"/>
  <c r="E57" i="1" a="1"/>
  <c r="E59" i="1" a="1"/>
  <c r="E61" i="1" a="1"/>
  <c r="E63" i="1" a="1"/>
  <c r="E65" i="1" a="1"/>
  <c r="E67" i="1" a="1"/>
  <c r="E69" i="1" a="1"/>
  <c r="E71" i="1" a="1"/>
  <c r="E73" i="1" a="1"/>
  <c r="E75" i="1" a="1"/>
  <c r="E77" i="1" a="1"/>
  <c r="E79" i="1" a="1"/>
  <c r="E81" i="1" a="1"/>
  <c r="E83" i="1" a="1"/>
  <c r="E89" i="1" a="1"/>
  <c r="E91" i="1" a="1"/>
  <c r="E99" i="1" a="1"/>
  <c r="E34" i="1" a="1"/>
  <c r="E42" i="1" a="1"/>
  <c r="E46" i="1" a="1"/>
  <c r="E50" i="1" a="1"/>
  <c r="E54" i="1" a="1"/>
  <c r="E56" i="1" a="1"/>
  <c r="E60" i="1" a="1"/>
  <c r="E62" i="1" a="1"/>
  <c r="E66" i="1" a="1"/>
  <c r="E70" i="1" a="1"/>
  <c r="E72" i="1" a="1"/>
  <c r="E76" i="1" a="1"/>
  <c r="E80" i="1" a="1"/>
  <c r="E82" i="1" a="1"/>
  <c r="E86" i="1" a="1"/>
  <c r="E90" i="1" a="1"/>
  <c r="E92" i="1" a="1"/>
  <c r="E96" i="1" a="1"/>
  <c r="E100" i="1" a="1"/>
  <c r="E102" i="1" a="1"/>
  <c r="E87" i="1" a="1"/>
  <c r="E93" i="1" a="1"/>
  <c r="E97" i="1" a="1"/>
  <c r="E101" i="1" a="1"/>
  <c r="E32" i="1" a="1"/>
  <c r="E36" i="1" a="1"/>
  <c r="E38" i="1" a="1"/>
  <c r="E40" i="1" a="1"/>
  <c r="E44" i="1" a="1"/>
  <c r="E48" i="1" a="1"/>
  <c r="E52" i="1" a="1"/>
  <c r="E58" i="1" a="1"/>
  <c r="E64" i="1" a="1"/>
  <c r="E68" i="1" a="1"/>
  <c r="E74" i="1" a="1"/>
  <c r="E78" i="1" a="1"/>
  <c r="E84" i="1" a="1"/>
  <c r="E88" i="1" a="1"/>
  <c r="E94" i="1" a="1"/>
  <c r="E98" i="1" a="1"/>
  <c r="E85" i="1" a="1"/>
  <c r="E95" i="1" a="1"/>
  <c r="E30" i="1" a="1"/>
  <c r="E11" i="1" a="1"/>
  <c r="E13" i="1" a="1"/>
  <c r="E15" i="1" a="1"/>
  <c r="E17" i="1" a="1"/>
  <c r="E19" i="1" a="1"/>
  <c r="E21" i="1" a="1"/>
  <c r="E23" i="1" a="1"/>
  <c r="E25" i="1" a="1"/>
  <c r="E27" i="1" a="1"/>
  <c r="E29" i="1" a="1"/>
  <c r="E12" i="1" a="1"/>
  <c r="E14" i="1" a="1"/>
  <c r="E16" i="1" a="1"/>
  <c r="E18" i="1" a="1"/>
  <c r="E20" i="1" a="1"/>
  <c r="E22" i="1" a="1"/>
  <c r="E24" i="1" a="1"/>
  <c r="E26" i="1" a="1"/>
  <c r="E28" i="1" a="1"/>
  <c r="E10" i="1" a="1"/>
  <c r="F102" i="1" l="1"/>
  <c r="F101" i="1"/>
  <c r="F97" i="1"/>
  <c r="F93" i="1"/>
  <c r="F89" i="1"/>
  <c r="F85" i="1"/>
  <c r="F81" i="1"/>
  <c r="F77" i="1"/>
  <c r="F73" i="1"/>
  <c r="F69" i="1"/>
  <c r="F65" i="1"/>
  <c r="F63" i="1"/>
  <c r="F59" i="1"/>
  <c r="F57" i="1"/>
  <c r="F55" i="1"/>
  <c r="F53" i="1"/>
  <c r="F51" i="1"/>
  <c r="F49" i="1"/>
  <c r="F47" i="1"/>
  <c r="F45" i="1"/>
  <c r="F41" i="1"/>
  <c r="F39" i="1"/>
  <c r="F37" i="1"/>
  <c r="F35" i="1"/>
  <c r="F33" i="1"/>
  <c r="F31" i="1"/>
  <c r="F29" i="1"/>
  <c r="F27" i="1"/>
  <c r="H27" i="1" s="1"/>
  <c r="F25" i="1"/>
  <c r="F23" i="1"/>
  <c r="F21" i="1"/>
  <c r="F19" i="1"/>
  <c r="H19" i="1" s="1"/>
  <c r="F17" i="1"/>
  <c r="F15" i="1"/>
  <c r="F13" i="1"/>
  <c r="F11" i="1"/>
  <c r="H11" i="1" s="1"/>
  <c r="F99" i="1"/>
  <c r="F95" i="1"/>
  <c r="F91" i="1"/>
  <c r="F87" i="1"/>
  <c r="F83" i="1"/>
  <c r="F79" i="1"/>
  <c r="F75" i="1"/>
  <c r="F71" i="1"/>
  <c r="F67" i="1"/>
  <c r="F61" i="1"/>
  <c r="F43" i="1"/>
  <c r="F100" i="1"/>
  <c r="F98" i="1"/>
  <c r="F96" i="1"/>
  <c r="F94" i="1"/>
  <c r="F92" i="1"/>
  <c r="F90" i="1"/>
  <c r="F88" i="1"/>
  <c r="F86" i="1"/>
  <c r="F84" i="1"/>
  <c r="F82" i="1"/>
  <c r="F80" i="1"/>
  <c r="F78" i="1"/>
  <c r="F76" i="1"/>
  <c r="F74" i="1"/>
  <c r="F72" i="1"/>
  <c r="F70" i="1"/>
  <c r="F68" i="1"/>
  <c r="F66" i="1"/>
  <c r="F64" i="1"/>
  <c r="F6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F14" i="1"/>
  <c r="F12" i="1"/>
  <c r="F10" i="1"/>
  <c r="E95" i="1"/>
  <c r="E85" i="1"/>
  <c r="E98" i="1"/>
  <c r="E94" i="1"/>
  <c r="E88" i="1"/>
  <c r="E84" i="1"/>
  <c r="E78" i="1"/>
  <c r="E74" i="1"/>
  <c r="E68" i="1"/>
  <c r="E64" i="1"/>
  <c r="E58" i="1"/>
  <c r="E52" i="1"/>
  <c r="E48" i="1"/>
  <c r="E44" i="1"/>
  <c r="E40" i="1"/>
  <c r="E38" i="1"/>
  <c r="E36" i="1"/>
  <c r="E32" i="1"/>
  <c r="E101" i="1"/>
  <c r="E97" i="1"/>
  <c r="E93" i="1"/>
  <c r="E87" i="1"/>
  <c r="E102" i="1"/>
  <c r="E100" i="1"/>
  <c r="E96" i="1"/>
  <c r="E92" i="1"/>
  <c r="E90" i="1"/>
  <c r="E86" i="1"/>
  <c r="E82" i="1"/>
  <c r="E80" i="1"/>
  <c r="E76" i="1"/>
  <c r="E72" i="1"/>
  <c r="E70" i="1"/>
  <c r="E66" i="1"/>
  <c r="E62" i="1"/>
  <c r="E60" i="1"/>
  <c r="E56" i="1"/>
  <c r="E54" i="1"/>
  <c r="E50" i="1"/>
  <c r="G50" i="1" s="1"/>
  <c r="E46" i="1"/>
  <c r="E42" i="1"/>
  <c r="E34" i="1"/>
  <c r="E99" i="1"/>
  <c r="E91" i="1"/>
  <c r="E89" i="1"/>
  <c r="E83" i="1"/>
  <c r="E81" i="1"/>
  <c r="E79" i="1"/>
  <c r="E77" i="1"/>
  <c r="E75" i="1"/>
  <c r="E73" i="1"/>
  <c r="E71" i="1"/>
  <c r="E69" i="1"/>
  <c r="E67" i="1"/>
  <c r="E65" i="1"/>
  <c r="E63" i="1"/>
  <c r="E61" i="1"/>
  <c r="E59" i="1"/>
  <c r="E57" i="1"/>
  <c r="E55" i="1"/>
  <c r="E53" i="1"/>
  <c r="E51" i="1"/>
  <c r="E49" i="1"/>
  <c r="G49" i="1" s="1"/>
  <c r="E47" i="1"/>
  <c r="E45" i="1"/>
  <c r="E43" i="1"/>
  <c r="E41" i="1"/>
  <c r="E39" i="1"/>
  <c r="E37" i="1"/>
  <c r="E35" i="1"/>
  <c r="E33" i="1"/>
  <c r="E31" i="1"/>
  <c r="E30" i="1"/>
  <c r="I95" i="1"/>
  <c r="I87" i="1"/>
  <c r="I79" i="1"/>
  <c r="I71" i="1"/>
  <c r="I63" i="1"/>
  <c r="I59" i="1"/>
  <c r="I55" i="1"/>
  <c r="I51" i="1"/>
  <c r="I47" i="1"/>
  <c r="I43" i="1"/>
  <c r="I39" i="1"/>
  <c r="I35" i="1"/>
  <c r="I31" i="1"/>
  <c r="I99" i="1"/>
  <c r="I91" i="1"/>
  <c r="I83" i="1"/>
  <c r="I75" i="1"/>
  <c r="I67" i="1"/>
  <c r="I60" i="1"/>
  <c r="I36" i="1"/>
  <c r="H29" i="1"/>
  <c r="H25" i="1"/>
  <c r="H23" i="1"/>
  <c r="H21" i="1"/>
  <c r="H17" i="1"/>
  <c r="H15" i="1"/>
  <c r="H13" i="1"/>
  <c r="H28" i="1"/>
  <c r="H26" i="1"/>
  <c r="H24" i="1"/>
  <c r="H22" i="1"/>
  <c r="H20" i="1"/>
  <c r="H18" i="1"/>
  <c r="H16" i="1"/>
  <c r="H14" i="1"/>
  <c r="H12" i="1"/>
  <c r="H10" i="1"/>
  <c r="E28" i="1"/>
  <c r="E26" i="1"/>
  <c r="E24" i="1"/>
  <c r="E22" i="1"/>
  <c r="E20" i="1"/>
  <c r="E18" i="1"/>
  <c r="G18" i="1" s="1"/>
  <c r="E16" i="1"/>
  <c r="E14" i="1"/>
  <c r="E12" i="1"/>
  <c r="E29" i="1"/>
  <c r="E27" i="1"/>
  <c r="G27" i="1" s="1"/>
  <c r="E25" i="1"/>
  <c r="E23" i="1"/>
  <c r="E21" i="1"/>
  <c r="E19" i="1"/>
  <c r="G19" i="1" s="1"/>
  <c r="E17" i="1"/>
  <c r="G17" i="1" s="1"/>
  <c r="E15" i="1"/>
  <c r="E13" i="1"/>
  <c r="E11" i="1"/>
  <c r="G11" i="1" s="1"/>
  <c r="E10" i="1"/>
  <c r="I96" i="1"/>
  <c r="I80" i="1"/>
  <c r="I64" i="1"/>
  <c r="I48" i="1"/>
  <c r="I32" i="1"/>
  <c r="I16" i="1"/>
  <c r="I13" i="1"/>
  <c r="I17" i="1"/>
  <c r="I21" i="1"/>
  <c r="I25" i="1"/>
  <c r="I29" i="1"/>
  <c r="I14" i="1"/>
  <c r="I18" i="1"/>
  <c r="I22" i="1"/>
  <c r="I26" i="1"/>
  <c r="I102" i="1"/>
  <c r="I94" i="1"/>
  <c r="I86" i="1"/>
  <c r="I74" i="1"/>
  <c r="I66" i="1"/>
  <c r="I58" i="1"/>
  <c r="I50" i="1"/>
  <c r="I42" i="1"/>
  <c r="I30" i="1"/>
  <c r="I23" i="1"/>
  <c r="I101" i="1"/>
  <c r="I93" i="1"/>
  <c r="I85" i="1"/>
  <c r="I77" i="1"/>
  <c r="I69" i="1"/>
  <c r="I61" i="1"/>
  <c r="I49" i="1"/>
  <c r="I41" i="1"/>
  <c r="I33" i="1"/>
  <c r="I84" i="1"/>
  <c r="I12" i="1"/>
  <c r="I88" i="1"/>
  <c r="I72" i="1"/>
  <c r="I56" i="1"/>
  <c r="I40" i="1"/>
  <c r="I24" i="1"/>
  <c r="I98" i="1"/>
  <c r="I90" i="1"/>
  <c r="I82" i="1"/>
  <c r="I78" i="1"/>
  <c r="I70" i="1"/>
  <c r="I62" i="1"/>
  <c r="I54" i="1"/>
  <c r="I46" i="1"/>
  <c r="I38" i="1"/>
  <c r="I34" i="1"/>
  <c r="I15" i="1"/>
  <c r="I97" i="1"/>
  <c r="I89" i="1"/>
  <c r="I81" i="1"/>
  <c r="I73" i="1"/>
  <c r="I65" i="1"/>
  <c r="I57" i="1"/>
  <c r="I53" i="1"/>
  <c r="I45" i="1"/>
  <c r="I37" i="1"/>
  <c r="I100" i="1"/>
  <c r="I92" i="1"/>
  <c r="I76" i="1"/>
  <c r="I68" i="1"/>
  <c r="I52" i="1"/>
  <c r="I44" i="1"/>
  <c r="I28" i="1"/>
  <c r="I20" i="1"/>
  <c r="I27" i="1"/>
  <c r="I19" i="1"/>
  <c r="I11" i="1"/>
  <c r="G38" i="1"/>
  <c r="G36" i="1"/>
  <c r="G30" i="1"/>
  <c r="G51" i="1"/>
  <c r="G43" i="1"/>
  <c r="G41" i="1"/>
  <c r="G35" i="1"/>
  <c r="G13" i="1"/>
  <c r="G44" i="1"/>
  <c r="G42" i="1"/>
  <c r="G34" i="1"/>
  <c r="G28" i="1"/>
  <c r="G45" i="1"/>
  <c r="G37" i="1"/>
  <c r="G29" i="1"/>
  <c r="G21" i="1"/>
  <c r="G10" i="1"/>
  <c r="G46" i="1" l="1"/>
  <c r="H31" i="1"/>
  <c r="H39" i="1"/>
  <c r="H36" i="1"/>
  <c r="H43" i="1"/>
  <c r="H51" i="1"/>
  <c r="H59" i="1"/>
  <c r="H67" i="1"/>
  <c r="H75" i="1"/>
  <c r="H83" i="1"/>
  <c r="H91" i="1"/>
  <c r="H99" i="1"/>
  <c r="H86" i="1"/>
  <c r="H44" i="1"/>
  <c r="H52" i="1"/>
  <c r="H60" i="1"/>
  <c r="H70" i="1"/>
  <c r="H78" i="1"/>
  <c r="H88" i="1"/>
  <c r="H102" i="1"/>
  <c r="H33" i="1"/>
  <c r="H30" i="1"/>
  <c r="H38" i="1"/>
  <c r="H45" i="1"/>
  <c r="H53" i="1"/>
  <c r="H61" i="1"/>
  <c r="H69" i="1"/>
  <c r="H77" i="1"/>
  <c r="H85" i="1"/>
  <c r="H93" i="1"/>
  <c r="H101" i="1"/>
  <c r="H92" i="1"/>
  <c r="H46" i="1"/>
  <c r="H54" i="1"/>
  <c r="H62" i="1"/>
  <c r="H72" i="1"/>
  <c r="H80" i="1"/>
  <c r="H90" i="1"/>
  <c r="H35" i="1"/>
  <c r="H32" i="1"/>
  <c r="H40" i="1"/>
  <c r="H47" i="1"/>
  <c r="H55" i="1"/>
  <c r="H63" i="1"/>
  <c r="H71" i="1"/>
  <c r="H79" i="1"/>
  <c r="H87" i="1"/>
  <c r="H95" i="1"/>
  <c r="H96" i="1"/>
  <c r="H48" i="1"/>
  <c r="H56" i="1"/>
  <c r="H64" i="1"/>
  <c r="H74" i="1"/>
  <c r="H82" i="1"/>
  <c r="H94" i="1"/>
  <c r="H37" i="1"/>
  <c r="H34" i="1"/>
  <c r="H41" i="1"/>
  <c r="H49" i="1"/>
  <c r="H57" i="1"/>
  <c r="H65" i="1"/>
  <c r="H73" i="1"/>
  <c r="H81" i="1"/>
  <c r="H89" i="1"/>
  <c r="H97" i="1"/>
  <c r="H66" i="1"/>
  <c r="H100" i="1"/>
  <c r="H42" i="1"/>
  <c r="H50" i="1"/>
  <c r="H58" i="1"/>
  <c r="H68" i="1"/>
  <c r="H76" i="1"/>
  <c r="H84" i="1"/>
  <c r="H98" i="1"/>
  <c r="G25" i="1"/>
  <c r="G40" i="1"/>
  <c r="G31" i="1"/>
  <c r="G15" i="1"/>
  <c r="G23" i="1"/>
  <c r="G14" i="1"/>
  <c r="G22" i="1"/>
  <c r="G33" i="1"/>
  <c r="G32" i="1"/>
  <c r="G47" i="1"/>
  <c r="G16" i="1"/>
  <c r="G24" i="1"/>
  <c r="G48" i="1"/>
  <c r="G39" i="1"/>
  <c r="G12" i="1"/>
  <c r="G26" i="1"/>
  <c r="G20" i="1"/>
  <c r="G52" i="1" l="1"/>
  <c r="G96" i="1"/>
  <c r="G83" i="1"/>
  <c r="G97" i="1"/>
  <c r="G88" i="1"/>
  <c r="G93" i="1"/>
  <c r="G84" i="1"/>
  <c r="G89" i="1"/>
  <c r="G80" i="1"/>
  <c r="G94" i="1"/>
  <c r="G85" i="1"/>
  <c r="G90" i="1"/>
  <c r="G87" i="1"/>
  <c r="G92" i="1"/>
  <c r="G81" i="1"/>
  <c r="G95" i="1"/>
  <c r="G86" i="1"/>
  <c r="G91" i="1"/>
  <c r="G82" i="1"/>
  <c r="G73" i="1"/>
  <c r="G60" i="1"/>
  <c r="G74" i="1"/>
  <c r="G65" i="1"/>
  <c r="G56" i="1"/>
  <c r="G70" i="1"/>
  <c r="G61" i="1"/>
  <c r="G75" i="1"/>
  <c r="G55" i="1"/>
  <c r="G66" i="1"/>
  <c r="G57" i="1"/>
  <c r="G71" i="1"/>
  <c r="G62" i="1"/>
  <c r="G53" i="1"/>
  <c r="G67" i="1"/>
  <c r="G64" i="1"/>
  <c r="G69" i="1"/>
  <c r="G58" i="1"/>
  <c r="G72" i="1"/>
  <c r="G63" i="1"/>
  <c r="G54" i="1"/>
  <c r="G68" i="1"/>
  <c r="G59" i="1"/>
  <c r="G98" i="1" l="1"/>
  <c r="G99" i="1"/>
  <c r="G100" i="1"/>
  <c r="G101" i="1"/>
  <c r="G102" i="1"/>
  <c r="G76" i="1"/>
  <c r="G77" i="1"/>
  <c r="G78" i="1"/>
  <c r="G7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<sst xmlns="http://schemas.openxmlformats.org/spreadsheetml/2006/main" count="17" uniqueCount="12">
  <si>
    <t>Source:</t>
  </si>
  <si>
    <t>http://risksir.com</t>
  </si>
  <si>
    <t>Description:</t>
  </si>
  <si>
    <t>This is an example of calculation of EWMA-based volatility with VBA</t>
  </si>
  <si>
    <t>Return</t>
  </si>
  <si>
    <t>Price</t>
  </si>
  <si>
    <t>One-day EWMA variance</t>
  </si>
  <si>
    <t>One-day EWMA volatility</t>
  </si>
  <si>
    <t>Day</t>
  </si>
  <si>
    <t>(MA period: 20 days)</t>
  </si>
  <si>
    <t>One-day standard  deviation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</si>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</sst>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10" fontId="0" fillId="0" borderId="0" xfId="1" applyNumberFormat="1" applyFont="1"/>
    <xf numFmtId="164" fontId="0" fillId="0" borderId="0" xfId="0" applyNumberFormat="1"/>
    <xf numFmtId="10" fontId="0" fillId="0" borderId="0" xfId="1" applyNumberFormat="1" applyFont="1" applyFill="1" applyBorder="1" applyAlignment="1">
      <alignment horizontal="center" vertical="center"/>
    </xf>
    <xf numFmtId="10" fontId="3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9" fontId="4" fillId="0" borderId="0" xfId="1" applyFont="1" applyAlignment="1">
      <alignment horizontal="center"/>
    </xf>
    <xf numFmtId="10" fontId="4" fillId="0" borderId="0" xfId="1" applyNumberFormat="1" applyFont="1" applyAlignment="1">
      <alignment horizontal="center"/>
    </xf>
    <xf numFmtId="0" fontId="2" fillId="0" borderId="0" xfId="2" applyAlignment="1">
      <alignment horizontal="left"/>
    </xf>
    <xf numFmtId="0" fontId="0" fillId="0" borderId="0" xfId="0" applyAlignment="1">
      <alignment horizontal="left"/>
    </xf>
    <xf numFmtId="10" fontId="0" fillId="0" borderId="0" xfId="1" applyNumberFormat="1" applyFont="1" applyFill="1" applyBorder="1" applyAlignment="1">
      <alignment horizontal="left" vertical="center"/>
    </xf>
    <xf numFmtId="10" fontId="5" fillId="0" borderId="0" xfId="1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A329"/>
      <color rgb="FFFBA9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Volatility of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Sheet1!$D$8:$D$9</c:f>
              <c:strCache>
                <c:ptCount val="2"/>
                <c:pt idx="0">
                  <c:v>Return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Sheet1!$D$10:$D$102</c:f>
              <c:numCache>
                <c:formatCode>0.00%</c:formatCode>
                <c:ptCount val="93"/>
                <c:pt idx="0">
                  <c:v>2.6663111743080545E-4</c:v>
                </c:pt>
                <c:pt idx="1">
                  <c:v>5.450329211798265E-3</c:v>
                </c:pt>
                <c:pt idx="2">
                  <c:v>9.2758238943951995E-4</c:v>
                </c:pt>
                <c:pt idx="3">
                  <c:v>2.2491244514513263E-3</c:v>
                </c:pt>
                <c:pt idx="4">
                  <c:v>2.6427061464576521E-4</c:v>
                </c:pt>
                <c:pt idx="5">
                  <c:v>4.0872889652549529E-3</c:v>
                </c:pt>
                <c:pt idx="6">
                  <c:v>3.6774404458871832E-3</c:v>
                </c:pt>
                <c:pt idx="7">
                  <c:v>-5.2452138627176513E-4</c:v>
                </c:pt>
                <c:pt idx="8">
                  <c:v>-2.6236390023246447E-4</c:v>
                </c:pt>
                <c:pt idx="9">
                  <c:v>1.8351034118326058E-3</c:v>
                </c:pt>
                <c:pt idx="10">
                  <c:v>3.6601348050583331E-3</c:v>
                </c:pt>
                <c:pt idx="11">
                  <c:v>-1.1750115589123902E-3</c:v>
                </c:pt>
                <c:pt idx="12">
                  <c:v>1.3062504100623217E-4</c:v>
                </c:pt>
                <c:pt idx="13">
                  <c:v>-1.9611694852235441E-3</c:v>
                </c:pt>
                <c:pt idx="14">
                  <c:v>2.74456161302776E-3</c:v>
                </c:pt>
                <c:pt idx="15">
                  <c:v>5.3368170923713855E-3</c:v>
                </c:pt>
                <c:pt idx="16">
                  <c:v>7.7861410629643179E-4</c:v>
                </c:pt>
                <c:pt idx="17">
                  <c:v>2.5940337369832186E-4</c:v>
                </c:pt>
                <c:pt idx="18">
                  <c:v>-3.8913029870365308E-4</c:v>
                </c:pt>
                <c:pt idx="19">
                  <c:v>2.5943702311833922E-4</c:v>
                </c:pt>
                <c:pt idx="20">
                  <c:v>-6.1146355869710588E-3</c:v>
                </c:pt>
                <c:pt idx="21">
                  <c:v>9.1306339089754554E-4</c:v>
                </c:pt>
                <c:pt idx="22">
                  <c:v>4.423059116659714E-3</c:v>
                </c:pt>
                <c:pt idx="23">
                  <c:v>-9.0903194364414354E-4</c:v>
                </c:pt>
                <c:pt idx="24">
                  <c:v>-1.1699708841890514E-3</c:v>
                </c:pt>
                <c:pt idx="25">
                  <c:v>-1.6923781947304943E-3</c:v>
                </c:pt>
                <c:pt idx="26">
                  <c:v>2.3425310035367483E-3</c:v>
                </c:pt>
                <c:pt idx="27">
                  <c:v>3.2444386386294641E-3</c:v>
                </c:pt>
                <c:pt idx="28">
                  <c:v>-1.685794343348064E-3</c:v>
                </c:pt>
                <c:pt idx="29">
                  <c:v>3.6274168548193222E-3</c:v>
                </c:pt>
                <c:pt idx="30">
                  <c:v>3.0987758818362878E-3</c:v>
                </c:pt>
                <c:pt idx="31">
                  <c:v>-6.4478692026958878E-4</c:v>
                </c:pt>
                <c:pt idx="32">
                  <c:v>-5.1612904371552192E-4</c:v>
                </c:pt>
                <c:pt idx="33">
                  <c:v>-2.5816445218899075E-4</c:v>
                </c:pt>
                <c:pt idx="34">
                  <c:v>1.2909055720479714E-4</c:v>
                </c:pt>
                <c:pt idx="35">
                  <c:v>1.0321249787365715E-3</c:v>
                </c:pt>
                <c:pt idx="36">
                  <c:v>9.0223631821248983E-4</c:v>
                </c:pt>
                <c:pt idx="37">
                  <c:v>0</c:v>
                </c:pt>
                <c:pt idx="38">
                  <c:v>7.7269804230917759E-4</c:v>
                </c:pt>
                <c:pt idx="39">
                  <c:v>0</c:v>
                </c:pt>
                <c:pt idx="40">
                  <c:v>2.4429456058251342E-3</c:v>
                </c:pt>
                <c:pt idx="41">
                  <c:v>-3.2156436481344227E-3</c:v>
                </c:pt>
                <c:pt idx="42">
                  <c:v>2.3163052435855305E-3</c:v>
                </c:pt>
                <c:pt idx="43">
                  <c:v>2.1827061371626141E-3</c:v>
                </c:pt>
                <c:pt idx="44">
                  <c:v>3.2012320058594414E-3</c:v>
                </c:pt>
                <c:pt idx="45">
                  <c:v>-1.9195091951683927E-3</c:v>
                </c:pt>
                <c:pt idx="46">
                  <c:v>-1.2809837973077693E-4</c:v>
                </c:pt>
                <c:pt idx="47">
                  <c:v>3.1975470103774817E-3</c:v>
                </c:pt>
                <c:pt idx="48">
                  <c:v>2.5536261630088573E-4</c:v>
                </c:pt>
                <c:pt idx="49">
                  <c:v>3.3137934989363707E-3</c:v>
                </c:pt>
                <c:pt idx="50">
                  <c:v>4.5702758235676285E-3</c:v>
                </c:pt>
                <c:pt idx="51">
                  <c:v>1.6452576007649502E-3</c:v>
                </c:pt>
                <c:pt idx="52">
                  <c:v>7.5843765486218004E-4</c:v>
                </c:pt>
                <c:pt idx="53">
                  <c:v>0</c:v>
                </c:pt>
                <c:pt idx="54">
                  <c:v>2.271867694317023E-3</c:v>
                </c:pt>
                <c:pt idx="55">
                  <c:v>7.5614370332387465E-4</c:v>
                </c:pt>
                <c:pt idx="56">
                  <c:v>-1.0083187141169845E-3</c:v>
                </c:pt>
                <c:pt idx="57">
                  <c:v>-4.8034474863876608E-3</c:v>
                </c:pt>
                <c:pt idx="58">
                  <c:v>1.2670256589650169E-4</c:v>
                </c:pt>
                <c:pt idx="59">
                  <c:v>-1.7752984627143716E-3</c:v>
                </c:pt>
                <c:pt idx="60">
                  <c:v>2.2819482518927309E-3</c:v>
                </c:pt>
                <c:pt idx="61">
                  <c:v>2.7819947128313875E-3</c:v>
                </c:pt>
                <c:pt idx="62">
                  <c:v>0</c:v>
                </c:pt>
                <c:pt idx="63">
                  <c:v>-6.3159226504289328E-4</c:v>
                </c:pt>
                <c:pt idx="64">
                  <c:v>-2.0237800987747976E-3</c:v>
                </c:pt>
                <c:pt idx="65">
                  <c:v>3.2865659718467927E-3</c:v>
                </c:pt>
                <c:pt idx="66">
                  <c:v>5.7883639658193736E-3</c:v>
                </c:pt>
                <c:pt idx="67">
                  <c:v>3.006767487008088E-3</c:v>
                </c:pt>
                <c:pt idx="68">
                  <c:v>1.0002501459114624E-3</c:v>
                </c:pt>
                <c:pt idx="69">
                  <c:v>-3.5052614758800124E-3</c:v>
                </c:pt>
                <c:pt idx="70">
                  <c:v>1.253997117450253E-4</c:v>
                </c:pt>
                <c:pt idx="71">
                  <c:v>-6.2715586878457814E-4</c:v>
                </c:pt>
                <c:pt idx="72">
                  <c:v>1.880288864852128E-3</c:v>
                </c:pt>
                <c:pt idx="73">
                  <c:v>-1.0023807379834517E-3</c:v>
                </c:pt>
                <c:pt idx="74">
                  <c:v>2.7541329376924591E-3</c:v>
                </c:pt>
                <c:pt idx="75">
                  <c:v>1.2493754748604253E-3</c:v>
                </c:pt>
                <c:pt idx="76">
                  <c:v>1.3725125368779932E-3</c:v>
                </c:pt>
                <c:pt idx="77">
                  <c:v>4.3545947505144967E-3</c:v>
                </c:pt>
                <c:pt idx="78">
                  <c:v>-6.2092519846564283E-4</c:v>
                </c:pt>
                <c:pt idx="79">
                  <c:v>4.9677099879047578E-4</c:v>
                </c:pt>
                <c:pt idx="80">
                  <c:v>-6.2100231766577091E-4</c:v>
                </c:pt>
                <c:pt idx="81">
                  <c:v>-1.3675640845874258E-3</c:v>
                </c:pt>
                <c:pt idx="82">
                  <c:v>-7.8686473561010908E-3</c:v>
                </c:pt>
                <c:pt idx="83">
                  <c:v>-5.0282946925357206E-3</c:v>
                </c:pt>
                <c:pt idx="84">
                  <c:v>6.9074057998108956E-3</c:v>
                </c:pt>
                <c:pt idx="85">
                  <c:v>-2.5062669760596117E-3</c:v>
                </c:pt>
                <c:pt idx="86">
                  <c:v>-3.015835409716451E-3</c:v>
                </c:pt>
                <c:pt idx="87">
                  <c:v>8.8956296684071946E-3</c:v>
                </c:pt>
                <c:pt idx="88">
                  <c:v>3.7350641031812437E-3</c:v>
                </c:pt>
                <c:pt idx="89">
                  <c:v>5.0821305541744344E-3</c:v>
                </c:pt>
                <c:pt idx="90">
                  <c:v>2.2230464879466733E-3</c:v>
                </c:pt>
                <c:pt idx="91">
                  <c:v>1.1096727604377971E-3</c:v>
                </c:pt>
                <c:pt idx="92">
                  <c:v>-1.8501392881614773E-3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B2-496A-89B1-C8E8BEDC9396}"/>
            </c:ext>
          </c:extLst>
        </c:ser>
        <c:ser>
          <c:idx val="1"/>
          <c:order val="1"/>
          <c:tx>
            <c:strRef>
              <c:f>Sheet1!$G$8:$G$9</c:f>
              <c:strCache>
                <c:ptCount val="2"/>
                <c:pt idx="0">
                  <c:v>One-day EWMA volatility</c:v>
                </c:pt>
                <c:pt idx="1">
                  <c:v>(λ:0.9, MA period: 20 days)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Sheet1!$G$10:$G$102</c:f>
              <c:numCache>
                <c:formatCode>0.00%</c:formatCode>
                <c:ptCount val="93"/>
                <c:pt idx="0">
                  <c:v>8.4316171466858314E-5</c:v>
                </c:pt>
                <c:pt idx="1">
                  <c:v>1.7254007803052804E-3</c:v>
                </c:pt>
                <c:pt idx="2">
                  <c:v>1.6629335439218944E-3</c:v>
                </c:pt>
                <c:pt idx="3">
                  <c:v>1.730511239743839E-3</c:v>
                </c:pt>
                <c:pt idx="4">
                  <c:v>1.6438327647262589E-3</c:v>
                </c:pt>
                <c:pt idx="5">
                  <c:v>2.0254779602329616E-3</c:v>
                </c:pt>
                <c:pt idx="6">
                  <c:v>2.2460324659359719E-3</c:v>
                </c:pt>
                <c:pt idx="7">
                  <c:v>2.1372196479901005E-3</c:v>
                </c:pt>
                <c:pt idx="8">
                  <c:v>2.0292413524239054E-3</c:v>
                </c:pt>
                <c:pt idx="9">
                  <c:v>2.0106712288200149E-3</c:v>
                </c:pt>
                <c:pt idx="10">
                  <c:v>2.2311830268217626E-3</c:v>
                </c:pt>
                <c:pt idx="11">
                  <c:v>2.1490521352795365E-3</c:v>
                </c:pt>
                <c:pt idx="12">
                  <c:v>2.0391882486602117E-3</c:v>
                </c:pt>
                <c:pt idx="13">
                  <c:v>2.0315211981669851E-3</c:v>
                </c:pt>
                <c:pt idx="14">
                  <c:v>2.1136774660672247E-3</c:v>
                </c:pt>
                <c:pt idx="15">
                  <c:v>2.6208836973740648E-3</c:v>
                </c:pt>
                <c:pt idx="16">
                  <c:v>2.498549994730695E-3</c:v>
                </c:pt>
                <c:pt idx="17">
                  <c:v>2.3717516083700718E-3</c:v>
                </c:pt>
                <c:pt idx="18">
                  <c:v>2.2534034997827956E-3</c:v>
                </c:pt>
                <c:pt idx="19">
                  <c:v>2.1393398771347829E-3</c:v>
                </c:pt>
                <c:pt idx="20">
                  <c:v>2.803053840112057E-3</c:v>
                </c:pt>
                <c:pt idx="21">
                  <c:v>2.6064557570873036E-3</c:v>
                </c:pt>
                <c:pt idx="22">
                  <c:v>2.8390377305268191E-3</c:v>
                </c:pt>
                <c:pt idx="23">
                  <c:v>2.6972681235952942E-3</c:v>
                </c:pt>
                <c:pt idx="24">
                  <c:v>2.5852975732899314E-3</c:v>
                </c:pt>
                <c:pt idx="25">
                  <c:v>2.4695539127623082E-3</c:v>
                </c:pt>
                <c:pt idx="26">
                  <c:v>2.4234596676341838E-3</c:v>
                </c:pt>
                <c:pt idx="27">
                  <c:v>2.5169693598387989E-3</c:v>
                </c:pt>
                <c:pt idx="28">
                  <c:v>2.4464207585437906E-3</c:v>
                </c:pt>
                <c:pt idx="29">
                  <c:v>2.5809592039311539E-3</c:v>
                </c:pt>
                <c:pt idx="30">
                  <c:v>2.6062589037168125E-3</c:v>
                </c:pt>
                <c:pt idx="31">
                  <c:v>2.4775221749062742E-3</c:v>
                </c:pt>
                <c:pt idx="32">
                  <c:v>2.355999957908033E-3</c:v>
                </c:pt>
                <c:pt idx="33">
                  <c:v>2.2261101485961756E-3</c:v>
                </c:pt>
                <c:pt idx="34">
                  <c:v>2.0904776851183473E-3</c:v>
                </c:pt>
                <c:pt idx="35">
                  <c:v>1.9218078982849607E-3</c:v>
                </c:pt>
                <c:pt idx="36">
                  <c:v>1.8433782825826156E-3</c:v>
                </c:pt>
                <c:pt idx="37">
                  <c:v>1.7485482562317254E-3</c:v>
                </c:pt>
                <c:pt idx="38">
                  <c:v>1.6761694825660354E-3</c:v>
                </c:pt>
                <c:pt idx="39">
                  <c:v>1.5898966328895155E-3</c:v>
                </c:pt>
                <c:pt idx="40">
                  <c:v>1.5547451979174083E-3</c:v>
                </c:pt>
                <c:pt idx="41">
                  <c:v>1.7886895446518592E-3</c:v>
                </c:pt>
                <c:pt idx="42">
                  <c:v>1.7827367895310686E-3</c:v>
                </c:pt>
                <c:pt idx="43">
                  <c:v>1.8239270059789425E-3</c:v>
                </c:pt>
                <c:pt idx="44">
                  <c:v>2.0005463589529144E-3</c:v>
                </c:pt>
                <c:pt idx="45">
                  <c:v>1.9838340088755477E-3</c:v>
                </c:pt>
                <c:pt idx="46">
                  <c:v>1.8646618611537487E-3</c:v>
                </c:pt>
                <c:pt idx="47">
                  <c:v>2.0059217932116725E-3</c:v>
                </c:pt>
                <c:pt idx="48">
                  <c:v>1.8956054168918894E-3</c:v>
                </c:pt>
                <c:pt idx="49">
                  <c:v>2.0425813166144524E-3</c:v>
                </c:pt>
                <c:pt idx="50">
                  <c:v>2.3930992989428944E-3</c:v>
                </c:pt>
                <c:pt idx="51">
                  <c:v>2.3280602267441801E-3</c:v>
                </c:pt>
                <c:pt idx="52">
                  <c:v>2.2208471234525886E-3</c:v>
                </c:pt>
                <c:pt idx="53">
                  <c:v>2.1066882207512135E-3</c:v>
                </c:pt>
                <c:pt idx="54">
                  <c:v>2.1237366908504348E-3</c:v>
                </c:pt>
                <c:pt idx="55">
                  <c:v>2.0256987651899464E-3</c:v>
                </c:pt>
                <c:pt idx="56">
                  <c:v>1.9454777908184315E-3</c:v>
                </c:pt>
                <c:pt idx="57">
                  <c:v>2.390336140907395E-3</c:v>
                </c:pt>
                <c:pt idx="58">
                  <c:v>2.2664250235158857E-3</c:v>
                </c:pt>
                <c:pt idx="59">
                  <c:v>2.2222021688237618E-3</c:v>
                </c:pt>
                <c:pt idx="60">
                  <c:v>2.2119078604415643E-3</c:v>
                </c:pt>
                <c:pt idx="61">
                  <c:v>2.2475581212699318E-3</c:v>
                </c:pt>
                <c:pt idx="62">
                  <c:v>2.1168694894695083E-3</c:v>
                </c:pt>
                <c:pt idx="63">
                  <c:v>2.003744483672363E-3</c:v>
                </c:pt>
                <c:pt idx="64">
                  <c:v>1.9744546288176677E-3</c:v>
                </c:pt>
                <c:pt idx="65">
                  <c:v>2.1316614683676328E-3</c:v>
                </c:pt>
                <c:pt idx="66">
                  <c:v>2.7276179200830335E-3</c:v>
                </c:pt>
                <c:pt idx="67">
                  <c:v>2.7341673006978425E-3</c:v>
                </c:pt>
                <c:pt idx="68">
                  <c:v>2.6129219193539812E-3</c:v>
                </c:pt>
                <c:pt idx="69">
                  <c:v>2.6906885302466674E-3</c:v>
                </c:pt>
                <c:pt idx="70">
                  <c:v>2.5026894320857402E-3</c:v>
                </c:pt>
                <c:pt idx="71">
                  <c:v>2.3756118991044013E-3</c:v>
                </c:pt>
                <c:pt idx="72">
                  <c:v>2.3293204635641595E-3</c:v>
                </c:pt>
                <c:pt idx="73">
                  <c:v>2.2324061271383039E-3</c:v>
                </c:pt>
                <c:pt idx="74">
                  <c:v>2.2761915330310046E-3</c:v>
                </c:pt>
                <c:pt idx="75">
                  <c:v>2.1936466542195206E-3</c:v>
                </c:pt>
                <c:pt idx="76">
                  <c:v>2.1229449754317873E-3</c:v>
                </c:pt>
                <c:pt idx="77">
                  <c:v>2.3815836411020712E-3</c:v>
                </c:pt>
                <c:pt idx="78">
                  <c:v>2.2678417125835768E-3</c:v>
                </c:pt>
                <c:pt idx="79">
                  <c:v>2.1482914992087894E-3</c:v>
                </c:pt>
                <c:pt idx="80">
                  <c:v>2.0319686273900842E-3</c:v>
                </c:pt>
                <c:pt idx="81">
                  <c:v>1.9516495065118231E-3</c:v>
                </c:pt>
                <c:pt idx="82">
                  <c:v>3.1015487469392448E-3</c:v>
                </c:pt>
                <c:pt idx="83">
                  <c:v>3.3438255919525884E-3</c:v>
                </c:pt>
                <c:pt idx="84">
                  <c:v>3.8450597719099752E-3</c:v>
                </c:pt>
                <c:pt idx="85">
                  <c:v>3.7152190631404977E-3</c:v>
                </c:pt>
                <c:pt idx="86">
                  <c:v>3.5951007016276223E-3</c:v>
                </c:pt>
                <c:pt idx="87">
                  <c:v>4.4085807984167542E-3</c:v>
                </c:pt>
                <c:pt idx="88">
                  <c:v>4.3445290934857371E-3</c:v>
                </c:pt>
                <c:pt idx="89">
                  <c:v>4.4069111119511891E-3</c:v>
                </c:pt>
                <c:pt idx="90">
                  <c:v>4.2394316579354016E-3</c:v>
                </c:pt>
                <c:pt idx="91">
                  <c:v>4.0365651010464661E-3</c:v>
                </c:pt>
                <c:pt idx="92">
                  <c:v>3.8683058171742014E-3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B2-496A-89B1-C8E8BEDC9396}"/>
            </c:ext>
          </c:extLst>
        </c:ser>
        <c:ser>
          <c:idx val="3"/>
          <c:order val="2"/>
          <c:tx>
            <c:strRef>
              <c:f>Sheet1!$H$8:$H$9</c:f>
              <c:strCache>
                <c:ptCount val="2"/>
                <c:pt idx="0">
                  <c:v>One-day EWMA volatility</c:v>
                </c:pt>
                <c:pt idx="1">
                  <c:v>(λ:0.85, MA period: 20 days)</c:v>
                </c:pt>
              </c:strCache>
            </c:strRef>
          </c:tx>
          <c:spPr>
            <a:ln w="22225" cap="rnd">
              <a:solidFill>
                <a:schemeClr val="accent4">
                  <a:lumMod val="75000"/>
                </a:schemeClr>
              </a:solidFill>
            </a:ln>
            <a:effectLst>
              <a:glow rad="635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Sheet1!$H$10:$H$102</c:f>
              <c:numCache>
                <c:formatCode>0.00%</c:formatCode>
                <c:ptCount val="93"/>
                <c:pt idx="0">
                  <c:v>1.0326577815227795E-4</c:v>
                </c:pt>
                <c:pt idx="1">
                  <c:v>2.1130491360872887E-3</c:v>
                </c:pt>
                <c:pt idx="2">
                  <c:v>1.9809825449716382E-3</c:v>
                </c:pt>
                <c:pt idx="3">
                  <c:v>2.0234703121195692E-3</c:v>
                </c:pt>
                <c:pt idx="4">
                  <c:v>1.868353102174455E-3</c:v>
                </c:pt>
                <c:pt idx="5">
                  <c:v>2.3394489117952513E-3</c:v>
                </c:pt>
                <c:pt idx="6">
                  <c:v>2.5846862359680252E-3</c:v>
                </c:pt>
                <c:pt idx="7">
                  <c:v>2.3916063796113269E-3</c:v>
                </c:pt>
                <c:pt idx="8">
                  <c:v>2.2072923312176579E-3</c:v>
                </c:pt>
                <c:pt idx="9">
                  <c:v>2.1555646837186178E-3</c:v>
                </c:pt>
                <c:pt idx="10">
                  <c:v>2.4411018219608403E-3</c:v>
                </c:pt>
                <c:pt idx="11">
                  <c:v>2.2961335627514463E-3</c:v>
                </c:pt>
                <c:pt idx="12">
                  <c:v>2.1175349928027709E-3</c:v>
                </c:pt>
                <c:pt idx="13">
                  <c:v>2.0948243794677024E-3</c:v>
                </c:pt>
                <c:pt idx="14">
                  <c:v>2.2045267971566879E-3</c:v>
                </c:pt>
                <c:pt idx="15">
                  <c:v>2.8988255417591582E-3</c:v>
                </c:pt>
                <c:pt idx="16">
                  <c:v>2.6895440896612783E-3</c:v>
                </c:pt>
                <c:pt idx="17">
                  <c:v>2.481671626781866E-3</c:v>
                </c:pt>
                <c:pt idx="18">
                  <c:v>2.2929464339496979E-3</c:v>
                </c:pt>
                <c:pt idx="19">
                  <c:v>2.1163788328085E-3</c:v>
                </c:pt>
                <c:pt idx="20">
                  <c:v>3.0684037533240255E-3</c:v>
                </c:pt>
                <c:pt idx="21">
                  <c:v>2.8204928591352573E-3</c:v>
                </c:pt>
                <c:pt idx="22">
                  <c:v>3.113104298032392E-3</c:v>
                </c:pt>
                <c:pt idx="23">
                  <c:v>2.886563040805026E-3</c:v>
                </c:pt>
                <c:pt idx="24">
                  <c:v>2.6995052148070229E-3</c:v>
                </c:pt>
                <c:pt idx="25">
                  <c:v>2.5547453496489957E-3</c:v>
                </c:pt>
                <c:pt idx="26">
                  <c:v>2.5084273656143146E-3</c:v>
                </c:pt>
                <c:pt idx="27">
                  <c:v>2.6316789652161194E-3</c:v>
                </c:pt>
                <c:pt idx="28">
                  <c:v>2.5125205063832425E-3</c:v>
                </c:pt>
                <c:pt idx="29">
                  <c:v>2.7055478826924647E-3</c:v>
                </c:pt>
                <c:pt idx="30">
                  <c:v>2.7539908675887534E-3</c:v>
                </c:pt>
                <c:pt idx="31">
                  <c:v>2.5497316625912501E-3</c:v>
                </c:pt>
                <c:pt idx="32">
                  <c:v>2.3591992864767249E-3</c:v>
                </c:pt>
                <c:pt idx="33">
                  <c:v>2.1722301954470859E-3</c:v>
                </c:pt>
                <c:pt idx="34">
                  <c:v>1.9923609208570914E-3</c:v>
                </c:pt>
                <c:pt idx="35">
                  <c:v>1.8352871345258166E-3</c:v>
                </c:pt>
                <c:pt idx="36">
                  <c:v>1.7267359517337422E-3</c:v>
                </c:pt>
                <c:pt idx="37">
                  <c:v>1.5918490269019397E-3</c:v>
                </c:pt>
                <c:pt idx="38">
                  <c:v>1.4975195680069834E-3</c:v>
                </c:pt>
                <c:pt idx="39">
                  <c:v>1.3805031247253951E-3</c:v>
                </c:pt>
                <c:pt idx="40">
                  <c:v>1.5158305198370806E-3</c:v>
                </c:pt>
                <c:pt idx="41">
                  <c:v>1.8706384542641157E-3</c:v>
                </c:pt>
                <c:pt idx="42">
                  <c:v>1.9145351602665147E-3</c:v>
                </c:pt>
                <c:pt idx="43">
                  <c:v>1.9558769849705162E-3</c:v>
                </c:pt>
                <c:pt idx="44">
                  <c:v>2.1865180451300942E-3</c:v>
                </c:pt>
                <c:pt idx="45">
                  <c:v>2.1447044920126354E-3</c:v>
                </c:pt>
                <c:pt idx="46">
                  <c:v>1.9698608053870274E-3</c:v>
                </c:pt>
                <c:pt idx="47">
                  <c:v>2.1842035572974343E-3</c:v>
                </c:pt>
                <c:pt idx="48">
                  <c:v>2.0120617165449509E-3</c:v>
                </c:pt>
                <c:pt idx="49">
                  <c:v>2.238708720095157E-3</c:v>
                </c:pt>
                <c:pt idx="50">
                  <c:v>2.7087504912663937E-3</c:v>
                </c:pt>
                <c:pt idx="51">
                  <c:v>2.5768864421284649E-3</c:v>
                </c:pt>
                <c:pt idx="52">
                  <c:v>2.3935387798409446E-3</c:v>
                </c:pt>
                <c:pt idx="53">
                  <c:v>2.2066459535626192E-3</c:v>
                </c:pt>
                <c:pt idx="54">
                  <c:v>2.216529700199415E-3</c:v>
                </c:pt>
                <c:pt idx="55">
                  <c:v>2.0629161237168932E-3</c:v>
                </c:pt>
                <c:pt idx="56">
                  <c:v>1.9403743910917108E-3</c:v>
                </c:pt>
                <c:pt idx="57">
                  <c:v>2.5809418050724568E-3</c:v>
                </c:pt>
                <c:pt idx="58">
                  <c:v>2.3792873587636216E-3</c:v>
                </c:pt>
                <c:pt idx="59">
                  <c:v>2.2988279656415448E-3</c:v>
                </c:pt>
                <c:pt idx="60">
                  <c:v>2.2887363616170696E-3</c:v>
                </c:pt>
                <c:pt idx="61">
                  <c:v>2.3565595850887789E-3</c:v>
                </c:pt>
                <c:pt idx="62">
                  <c:v>2.1654500213152089E-3</c:v>
                </c:pt>
                <c:pt idx="63">
                  <c:v>2.0044788661789641E-3</c:v>
                </c:pt>
                <c:pt idx="64">
                  <c:v>1.9924902756127609E-3</c:v>
                </c:pt>
                <c:pt idx="65">
                  <c:v>2.230094299300637E-3</c:v>
                </c:pt>
                <c:pt idx="66">
                  <c:v>3.0418744141059726E-3</c:v>
                </c:pt>
                <c:pt idx="67">
                  <c:v>3.0268307357808832E-3</c:v>
                </c:pt>
                <c:pt idx="68">
                  <c:v>2.8172938893504824E-3</c:v>
                </c:pt>
                <c:pt idx="69">
                  <c:v>2.919889986486528E-3</c:v>
                </c:pt>
                <c:pt idx="70">
                  <c:v>2.6697967907743105E-3</c:v>
                </c:pt>
                <c:pt idx="71">
                  <c:v>2.470203235150539E-3</c:v>
                </c:pt>
                <c:pt idx="72">
                  <c:v>2.3903131657098467E-3</c:v>
                </c:pt>
                <c:pt idx="73">
                  <c:v>2.2376935712284745E-3</c:v>
                </c:pt>
                <c:pt idx="74">
                  <c:v>2.3160226576011359E-3</c:v>
                </c:pt>
                <c:pt idx="75">
                  <c:v>2.1886488015199499E-3</c:v>
                </c:pt>
                <c:pt idx="76">
                  <c:v>2.0852610630818246E-3</c:v>
                </c:pt>
                <c:pt idx="77">
                  <c:v>2.5310660216320362E-3</c:v>
                </c:pt>
                <c:pt idx="78">
                  <c:v>2.345866573603762E-3</c:v>
                </c:pt>
                <c:pt idx="79">
                  <c:v>2.1670994848260391E-3</c:v>
                </c:pt>
                <c:pt idx="80">
                  <c:v>2.0048551014249637E-3</c:v>
                </c:pt>
                <c:pt idx="81">
                  <c:v>1.9110377358357606E-3</c:v>
                </c:pt>
                <c:pt idx="82">
                  <c:v>3.5201698956879302E-3</c:v>
                </c:pt>
                <c:pt idx="83">
                  <c:v>3.7845870334785826E-3</c:v>
                </c:pt>
                <c:pt idx="84">
                  <c:v>4.394048172082313E-3</c:v>
                </c:pt>
                <c:pt idx="85">
                  <c:v>4.1582349737320536E-3</c:v>
                </c:pt>
                <c:pt idx="86">
                  <c:v>3.9833119117620528E-3</c:v>
                </c:pt>
                <c:pt idx="87">
                  <c:v>5.0303110001243458E-3</c:v>
                </c:pt>
                <c:pt idx="88">
                  <c:v>4.8574903995682031E-3</c:v>
                </c:pt>
                <c:pt idx="89">
                  <c:v>4.884537235233832E-3</c:v>
                </c:pt>
                <c:pt idx="90">
                  <c:v>4.5848770851497798E-3</c:v>
                </c:pt>
                <c:pt idx="91">
                  <c:v>4.2485706965839738E-3</c:v>
                </c:pt>
                <c:pt idx="92">
                  <c:v>3.9794091952810046E-3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3-498F-A821-6D7C0C78FBDA}"/>
            </c:ext>
          </c:extLst>
        </c:ser>
        <c:ser>
          <c:idx val="2"/>
          <c:order val="3"/>
          <c:tx>
            <c:strRef>
              <c:f>Sheet1!$I$8:$I$9</c:f>
              <c:strCache>
                <c:ptCount val="2"/>
                <c:pt idx="0">
                  <c:v>One-day standard  deviation</c:v>
                </c:pt>
                <c:pt idx="1">
                  <c:v>(MA period: 20 days)</c:v>
                </c:pt>
              </c:strCache>
            </c:strRef>
          </c:tx>
          <c:spPr>
            <a:ln w="12700" cap="rnd">
              <a:solidFill>
                <a:schemeClr val="bg1"/>
              </a:solidFill>
              <a:prstDash val="solid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Sheet1!$I$10:$I$102</c:f>
              <c:numCache>
                <c:formatCode>0.00%</c:formatCode>
                <c:ptCount val="93"/>
                <c:pt idx="1">
                  <c:v>3.6654280741510148E-3</c:v>
                </c:pt>
                <c:pt idx="2">
                  <c:v>2.8214305277251021E-3</c:v>
                </c:pt>
                <c:pt idx="3">
                  <c:v>2.3037521295965016E-3</c:v>
                </c:pt>
                <c:pt idx="4">
                  <c:v>2.1790149506666942E-3</c:v>
                </c:pt>
                <c:pt idx="5">
                  <c:v>2.1555779730934453E-3</c:v>
                </c:pt>
                <c:pt idx="6">
                  <c:v>2.0446897355172553E-3</c:v>
                </c:pt>
                <c:pt idx="7">
                  <c:v>2.1599673697529202E-3</c:v>
                </c:pt>
                <c:pt idx="8">
                  <c:v>2.1624688796086002E-3</c:v>
                </c:pt>
                <c:pt idx="9">
                  <c:v>2.0388389654518954E-3</c:v>
                </c:pt>
                <c:pt idx="10">
                  <c:v>2.0141295943870005E-3</c:v>
                </c:pt>
                <c:pt idx="11">
                  <c:v>2.1237530946776749E-3</c:v>
                </c:pt>
                <c:pt idx="12">
                  <c:v>2.0796759209831327E-3</c:v>
                </c:pt>
                <c:pt idx="13">
                  <c:v>2.2113066407401286E-3</c:v>
                </c:pt>
                <c:pt idx="14">
                  <c:v>2.1619263388105185E-3</c:v>
                </c:pt>
                <c:pt idx="15">
                  <c:v>2.3062712724290922E-3</c:v>
                </c:pt>
                <c:pt idx="16">
                  <c:v>2.2434593552436211E-3</c:v>
                </c:pt>
                <c:pt idx="17">
                  <c:v>2.1998649630816411E-3</c:v>
                </c:pt>
                <c:pt idx="18">
                  <c:v>2.1832776409627459E-3</c:v>
                </c:pt>
                <c:pt idx="19">
                  <c:v>2.1413738959088768E-3</c:v>
                </c:pt>
                <c:pt idx="20">
                  <c:v>2.7147529076564638E-3</c:v>
                </c:pt>
                <c:pt idx="21">
                  <c:v>2.5106135321221199E-3</c:v>
                </c:pt>
                <c:pt idx="22">
                  <c:v>2.6359486566970261E-3</c:v>
                </c:pt>
                <c:pt idx="23">
                  <c:v>2.6523311127588604E-3</c:v>
                </c:pt>
                <c:pt idx="24">
                  <c:v>2.6881961010151848E-3</c:v>
                </c:pt>
                <c:pt idx="25">
                  <c:v>2.6238347549806095E-3</c:v>
                </c:pt>
                <c:pt idx="26">
                  <c:v>2.5545762750208562E-3</c:v>
                </c:pt>
                <c:pt idx="27">
                  <c:v>2.6191032138122316E-3</c:v>
                </c:pt>
                <c:pt idx="28">
                  <c:v>2.6631044085569928E-3</c:v>
                </c:pt>
                <c:pt idx="29">
                  <c:v>2.7380276321602925E-3</c:v>
                </c:pt>
                <c:pt idx="30">
                  <c:v>2.7080560340777462E-3</c:v>
                </c:pt>
                <c:pt idx="31">
                  <c:v>2.6922822096919524E-3</c:v>
                </c:pt>
                <c:pt idx="32">
                  <c:v>2.7024558123047672E-3</c:v>
                </c:pt>
                <c:pt idx="33">
                  <c:v>2.6437939015420847E-3</c:v>
                </c:pt>
                <c:pt idx="34">
                  <c:v>2.6007580805975628E-3</c:v>
                </c:pt>
                <c:pt idx="35">
                  <c:v>2.3499301379265856E-3</c:v>
                </c:pt>
                <c:pt idx="36">
                  <c:v>2.3513167143818505E-3</c:v>
                </c:pt>
                <c:pt idx="37">
                  <c:v>2.3525148087221882E-3</c:v>
                </c:pt>
                <c:pt idx="38">
                  <c:v>2.3481733694521337E-3</c:v>
                </c:pt>
                <c:pt idx="39">
                  <c:v>2.3496353502064243E-3</c:v>
                </c:pt>
                <c:pt idx="40">
                  <c:v>1.8266885195436062E-3</c:v>
                </c:pt>
                <c:pt idx="41">
                  <c:v>2.0349686175254998E-3</c:v>
                </c:pt>
                <c:pt idx="42">
                  <c:v>1.8746608993564166E-3</c:v>
                </c:pt>
                <c:pt idx="43">
                  <c:v>1.8806156012761031E-3</c:v>
                </c:pt>
                <c:pt idx="44">
                  <c:v>1.9122698718247858E-3</c:v>
                </c:pt>
                <c:pt idx="45">
                  <c:v>1.9288530918976099E-3</c:v>
                </c:pt>
                <c:pt idx="46">
                  <c:v>1.9074066469066519E-3</c:v>
                </c:pt>
                <c:pt idx="47">
                  <c:v>1.9041781446023018E-3</c:v>
                </c:pt>
                <c:pt idx="48">
                  <c:v>1.8224540172056894E-3</c:v>
                </c:pt>
                <c:pt idx="49">
                  <c:v>1.7982494391860359E-3</c:v>
                </c:pt>
                <c:pt idx="50">
                  <c:v>1.9227003165815672E-3</c:v>
                </c:pt>
                <c:pt idx="51">
                  <c:v>1.8949989514968663E-3</c:v>
                </c:pt>
                <c:pt idx="52">
                  <c:v>1.8626178714336613E-3</c:v>
                </c:pt>
                <c:pt idx="53">
                  <c:v>1.8538765587579578E-3</c:v>
                </c:pt>
                <c:pt idx="54">
                  <c:v>1.8583771285352346E-3</c:v>
                </c:pt>
                <c:pt idx="55">
                  <c:v>1.8605561084054502E-3</c:v>
                </c:pt>
                <c:pt idx="56">
                  <c:v>1.9228264681599332E-3</c:v>
                </c:pt>
                <c:pt idx="57">
                  <c:v>2.3221252365789964E-3</c:v>
                </c:pt>
                <c:pt idx="58">
                  <c:v>2.3274578654555581E-3</c:v>
                </c:pt>
                <c:pt idx="59">
                  <c:v>2.3924470065095705E-3</c:v>
                </c:pt>
                <c:pt idx="60">
                  <c:v>2.3865708358523953E-3</c:v>
                </c:pt>
                <c:pt idx="61">
                  <c:v>2.2408432192547044E-3</c:v>
                </c:pt>
                <c:pt idx="62">
                  <c:v>2.2291257841240628E-3</c:v>
                </c:pt>
                <c:pt idx="63">
                  <c:v>2.2317499628346513E-3</c:v>
                </c:pt>
                <c:pt idx="64">
                  <c:v>2.234873139694245E-3</c:v>
                </c:pt>
                <c:pt idx="65">
                  <c:v>2.2434282649023704E-3</c:v>
                </c:pt>
                <c:pt idx="66">
                  <c:v>2.498041415428566E-3</c:v>
                </c:pt>
                <c:pt idx="67">
                  <c:v>2.4897177685629414E-3</c:v>
                </c:pt>
                <c:pt idx="68">
                  <c:v>2.4830816812121026E-3</c:v>
                </c:pt>
                <c:pt idx="69">
                  <c:v>2.622621846176407E-3</c:v>
                </c:pt>
                <c:pt idx="70">
                  <c:v>2.4632267701618794E-3</c:v>
                </c:pt>
                <c:pt idx="71">
                  <c:v>2.4602261614539785E-3</c:v>
                </c:pt>
                <c:pt idx="72">
                  <c:v>2.4817518648889551E-3</c:v>
                </c:pt>
                <c:pt idx="73">
                  <c:v>2.5012896995172808E-3</c:v>
                </c:pt>
                <c:pt idx="74">
                  <c:v>2.5225550808248183E-3</c:v>
                </c:pt>
                <c:pt idx="75">
                  <c:v>2.5284127254428961E-3</c:v>
                </c:pt>
                <c:pt idx="76">
                  <c:v>2.5123713811372708E-3</c:v>
                </c:pt>
                <c:pt idx="77">
                  <c:v>2.3088945362108146E-3</c:v>
                </c:pt>
                <c:pt idx="78">
                  <c:v>2.3301100073184582E-3</c:v>
                </c:pt>
                <c:pt idx="79">
                  <c:v>2.2421887727413943E-3</c:v>
                </c:pt>
                <c:pt idx="80">
                  <c:v>2.2554607818903428E-3</c:v>
                </c:pt>
                <c:pt idx="81">
                  <c:v>2.2691971563118534E-3</c:v>
                </c:pt>
                <c:pt idx="82">
                  <c:v>2.9770354473026245E-3</c:v>
                </c:pt>
                <c:pt idx="83">
                  <c:v>3.2069708642536348E-3</c:v>
                </c:pt>
                <c:pt idx="84">
                  <c:v>3.4993989797920274E-3</c:v>
                </c:pt>
                <c:pt idx="85">
                  <c:v>3.5032381837627308E-3</c:v>
                </c:pt>
                <c:pt idx="86">
                  <c:v>3.324482375206458E-3</c:v>
                </c:pt>
                <c:pt idx="87">
                  <c:v>3.8397169830875696E-3</c:v>
                </c:pt>
                <c:pt idx="88">
                  <c:v>3.9196913644206572E-3</c:v>
                </c:pt>
                <c:pt idx="89">
                  <c:v>3.9533728613565175E-3</c:v>
                </c:pt>
                <c:pt idx="90">
                  <c:v>3.9648623040658085E-3</c:v>
                </c:pt>
                <c:pt idx="91">
                  <c:v>3.950615909463784E-3</c:v>
                </c:pt>
                <c:pt idx="92">
                  <c:v>3.9898392842638887E-3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B2-496A-89B1-C8E8BEDC9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519311"/>
        <c:axId val="1589521807"/>
      </c:lineChart>
      <c:catAx>
        <c:axId val="15895193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9521807"/>
        <c:crosses val="autoZero"/>
        <c:auto val="1"/>
        <c:lblAlgn val="ctr"/>
        <c:lblOffset val="100"/>
        <c:noMultiLvlLbl val="0"/>
      </c:catAx>
      <c:valAx>
        <c:axId val="1589521807"/>
        <c:scaling>
          <c:orientation val="minMax"/>
          <c:min val="-8.0000000000000019E-3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9519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1343025</xdr:colOff>
      <xdr:row>9</xdr:row>
      <xdr:rowOff>0</xdr:rowOff>
    </xdr:from>
    <xdr:to>
      <xdr:col>16</xdr:col>
      <xdr:colOff>495300</xdr:colOff>
      <xdr:row>37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606246-79E0-1CDF-D091-CEEA1D08B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risksi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FA453-0777-4ACB-96BE-5C1FB131E888}">
  <sheetPr codeName="Sheet1"/>
  <dimension ref="A1:S102"/>
  <sheetViews>
    <sheetView tabSelected="1" zoomScaleNormal="100" workbookViewId="0">
      <selection activeCell="Q6" sqref="Q6"/>
    </sheetView>
  </sheetViews>
  <sheetFormatPr defaultRowHeight="15" x14ac:dyDescent="0.25"/>
  <cols>
    <col min="1" max="1" width="12.42578125" customWidth="1"/>
    <col min="2" max="3" width="9.140625" style="5"/>
    <col min="4" max="4" width="9.140625" style="3"/>
    <col min="5" max="8" width="21.42578125" style="5" customWidth="1"/>
    <col min="9" max="9" width="21.42578125" customWidth="1"/>
    <col min="10" max="10" width="12" bestFit="1" customWidth="1"/>
    <col min="12" max="13" width="12" bestFit="1" customWidth="1"/>
    <col min="14" max="14" width="11" bestFit="1" customWidth="1"/>
    <col min="16" max="16" width="12" bestFit="1" customWidth="1"/>
    <col min="18" max="18" width="12" bestFit="1" customWidth="1"/>
  </cols>
  <sheetData>
    <row r="1" spans="1:15" x14ac:dyDescent="0.25">
      <c r="A1" t="s">
        <v>0</v>
      </c>
      <c r="B1" s="9" t="s">
        <v>1</v>
      </c>
      <c r="C1" s="10"/>
      <c r="D1" s="11"/>
      <c r="E1" s="10"/>
      <c r="F1" s="10"/>
      <c r="G1" s="10"/>
      <c r="H1" s="10"/>
    </row>
    <row r="2" spans="1:15" x14ac:dyDescent="0.25">
      <c r="A2" t="s">
        <v>2</v>
      </c>
      <c r="B2" s="10" t="s">
        <v>3</v>
      </c>
    </row>
    <row r="5" spans="1:15" x14ac:dyDescent="0.25">
      <c r="E5" s="5" t="s">
        <v>11</v>
      </c>
      <c r="F5" s="5" t="s">
        <v>11</v>
      </c>
    </row>
    <row r="6" spans="1:15" x14ac:dyDescent="0.25">
      <c r="E6" s="5">
        <v>0.9</v>
      </c>
      <c r="F6" s="5">
        <v>0.85</v>
      </c>
    </row>
    <row r="8" spans="1:15" x14ac:dyDescent="0.25">
      <c r="B8" s="5" t="s">
        <v>8</v>
      </c>
      <c r="C8" s="5" t="s">
        <v>5</v>
      </c>
      <c r="D8" s="12" t="s">
        <v>4</v>
      </c>
      <c r="E8" s="13" t="s">
        <v>6</v>
      </c>
      <c r="F8" s="13" t="s">
        <v>6</v>
      </c>
      <c r="G8" s="13" t="s">
        <v>7</v>
      </c>
      <c r="H8" s="13" t="s">
        <v>7</v>
      </c>
      <c r="I8" s="13" t="s">
        <v>10</v>
      </c>
    </row>
    <row r="9" spans="1:15" x14ac:dyDescent="0.25">
      <c r="B9" s="5">
        <v>0</v>
      </c>
      <c r="C9" s="5">
        <v>75</v>
      </c>
      <c r="D9" s="12"/>
      <c r="E9" s="13" t="s">
        <v>9</v>
      </c>
      <c r="F9" s="13" t="s">
        <v>9</v>
      </c>
      <c r="G9" s="13" t="str">
        <f>"(λ:"&amp;E6&amp;", MA period: 20 days)"</f>
        <v>(λ:0.9, MA period: 20 days)</v>
      </c>
      <c r="H9" s="13" t="str">
        <f>"(λ:"&amp;F6&amp;", MA period: 20 days)"</f>
        <v>(λ:0.85, MA period: 20 days)</v>
      </c>
      <c r="I9" s="13" t="s">
        <v>9</v>
      </c>
      <c r="K9" s="2"/>
      <c r="O9" s="2"/>
    </row>
    <row r="10" spans="1:15" x14ac:dyDescent="0.25">
      <c r="B10" s="5">
        <v>1</v>
      </c>
      <c r="C10" s="5">
        <v>75.02</v>
      </c>
      <c r="D10" s="4">
        <f>LN(C10/C9)</f>
        <v>2.6663111743080545E-4</v>
      </c>
      <c r="E10" s="5" cm="1">
        <f t="array" ref="E10">EWMA($D$10:$D10,E$6)</f>
        <v>7.1092167708286524E-9</v>
      </c>
      <c r="F10" s="5" cm="1">
        <f t="array" ref="F10">EWMA($D$10:$D10,F$6)</f>
        <v>1.0663820937395485E-8</v>
      </c>
      <c r="G10" s="6">
        <f>SQRT(E10)</f>
        <v>8.4316171466858314E-5</v>
      </c>
      <c r="H10" s="6">
        <f>SQRT(F10)</f>
        <v>1.0326577815227795E-4</v>
      </c>
      <c r="I10" s="7"/>
      <c r="K10" s="2"/>
      <c r="O10" s="2"/>
    </row>
    <row r="11" spans="1:15" x14ac:dyDescent="0.25">
      <c r="B11" s="5">
        <v>2</v>
      </c>
      <c r="C11" s="5">
        <v>75.430000000000007</v>
      </c>
      <c r="D11" s="4">
        <f t="shared" ref="D11:D74" si="0">LN(C11/C10)</f>
        <v>5.450329211798265E-3</v>
      </c>
      <c r="E11" s="5" cm="1">
        <f t="array" ref="E11">EWMA($D$10:$D11,E$6)</f>
        <v>2.9770078526780708E-6</v>
      </c>
      <c r="F11" s="5" cm="1">
        <f t="array" ref="F11">EWMA($D$10:$D11,F$6)</f>
        <v>4.4649766515192368E-6</v>
      </c>
      <c r="G11" s="6">
        <f>SQRT(E11)</f>
        <v>1.7254007803052804E-3</v>
      </c>
      <c r="H11" s="6">
        <f>SQRT(F11)</f>
        <v>2.1130491360872887E-3</v>
      </c>
      <c r="I11" s="8">
        <f>STDEV(D$10:D11)</f>
        <v>3.6654280741510148E-3</v>
      </c>
      <c r="K11" s="2"/>
      <c r="O11" s="2"/>
    </row>
    <row r="12" spans="1:15" x14ac:dyDescent="0.25">
      <c r="B12" s="5">
        <v>3</v>
      </c>
      <c r="C12" s="5">
        <v>75.5</v>
      </c>
      <c r="D12" s="4">
        <f t="shared" si="0"/>
        <v>9.2758238943951995E-4</v>
      </c>
      <c r="E12" s="5" cm="1">
        <f t="array" ref="E12">EWMA($D$10:$D12,E$6)</f>
        <v>2.7653479715006313E-6</v>
      </c>
      <c r="F12" s="5" cm="1">
        <f t="array" ref="F12">EWMA($D$10:$D12,F$6)</f>
        <v>3.9242918434823082E-6</v>
      </c>
      <c r="G12" s="6">
        <f>SQRT(E12)</f>
        <v>1.6629335439218944E-3</v>
      </c>
      <c r="H12" s="6">
        <f>SQRT(F12)</f>
        <v>1.9809825449716382E-3</v>
      </c>
      <c r="I12" s="8">
        <f>STDEV(D$10:D12)</f>
        <v>2.8214305277251021E-3</v>
      </c>
      <c r="K12" s="2"/>
      <c r="O12" s="2"/>
    </row>
    <row r="13" spans="1:15" x14ac:dyDescent="0.25">
      <c r="B13" s="5">
        <v>4</v>
      </c>
      <c r="C13" s="5">
        <v>75.67</v>
      </c>
      <c r="D13" s="4">
        <f t="shared" si="0"/>
        <v>2.2491244514513263E-3</v>
      </c>
      <c r="E13" s="5" cm="1">
        <f t="array" ref="E13">EWMA($D$10:$D13,E$6)</f>
        <v>2.9946691508797585E-6</v>
      </c>
      <c r="F13" s="5" cm="1">
        <f t="array" ref="F13">EWMA($D$10:$D13,F$6)</f>
        <v>4.0944321040292664E-6</v>
      </c>
      <c r="G13" s="6">
        <f>SQRT(E13)</f>
        <v>1.730511239743839E-3</v>
      </c>
      <c r="H13" s="6">
        <f>SQRT(F13)</f>
        <v>2.0234703121195692E-3</v>
      </c>
      <c r="I13" s="8">
        <f>STDEV(D$10:D13)</f>
        <v>2.3037521295965016E-3</v>
      </c>
      <c r="K13" s="2"/>
      <c r="O13" s="2"/>
    </row>
    <row r="14" spans="1:15" x14ac:dyDescent="0.25">
      <c r="B14" s="5">
        <v>5</v>
      </c>
      <c r="C14" s="5">
        <v>75.69</v>
      </c>
      <c r="D14" s="4">
        <f t="shared" si="0"/>
        <v>2.6427061464576521E-4</v>
      </c>
      <c r="E14" s="5" cm="1">
        <f t="array" ref="E14">EWMA($D$10:$D14,E$6)</f>
        <v>2.7021861583875761E-6</v>
      </c>
      <c r="F14" s="5" cm="1">
        <f t="array" ref="F14">EWMA($D$10:$D14,F$6)</f>
        <v>3.4907433144049094E-6</v>
      </c>
      <c r="G14" s="6">
        <f>SQRT(E14)</f>
        <v>1.6438327647262589E-3</v>
      </c>
      <c r="H14" s="6">
        <f>SQRT(F14)</f>
        <v>1.868353102174455E-3</v>
      </c>
      <c r="I14" s="8">
        <f>STDEV(D$10:D14)</f>
        <v>2.1790149506666942E-3</v>
      </c>
      <c r="K14" s="2"/>
      <c r="O14" s="2"/>
    </row>
    <row r="15" spans="1:15" x14ac:dyDescent="0.25">
      <c r="B15" s="5">
        <v>6</v>
      </c>
      <c r="C15" s="5">
        <v>76</v>
      </c>
      <c r="D15" s="4">
        <f t="shared" si="0"/>
        <v>4.0872889652549529E-3</v>
      </c>
      <c r="E15" s="5" cm="1">
        <f t="array" ref="E15">EWMA($D$10:$D15,E$6)</f>
        <v>4.1025609673894792E-6</v>
      </c>
      <c r="F15" s="5" cm="1">
        <f t="array" ref="F15">EWMA($D$10:$D15,F$6)</f>
        <v>5.4730212108999865E-6</v>
      </c>
      <c r="G15" s="6">
        <f>SQRT(E15)</f>
        <v>2.0254779602329616E-3</v>
      </c>
      <c r="H15" s="6">
        <f>SQRT(F15)</f>
        <v>2.3394489117952513E-3</v>
      </c>
      <c r="I15" s="8">
        <f>STDEV(D$10:D15)</f>
        <v>2.1555779730934453E-3</v>
      </c>
      <c r="K15" s="2"/>
      <c r="O15" s="2"/>
    </row>
    <row r="16" spans="1:15" x14ac:dyDescent="0.25">
      <c r="B16" s="5">
        <v>7</v>
      </c>
      <c r="C16" s="5">
        <v>76.28</v>
      </c>
      <c r="D16" s="4">
        <f t="shared" si="0"/>
        <v>3.6774404458871832E-3</v>
      </c>
      <c r="E16" s="5" cm="1">
        <f t="array" ref="E16">EWMA($D$10:$D16,E$6)</f>
        <v>5.0446618380384223E-6</v>
      </c>
      <c r="F16" s="5" cm="1">
        <f t="array" ref="F16">EWMA($D$10:$D16,F$6)</f>
        <v>6.6806029384025578E-6</v>
      </c>
      <c r="G16" s="6">
        <f>SQRT(E16)</f>
        <v>2.2460324659359719E-3</v>
      </c>
      <c r="H16" s="6">
        <f>SQRT(F16)</f>
        <v>2.5846862359680252E-3</v>
      </c>
      <c r="I16" s="8">
        <f>STDEV(D$10:D16)</f>
        <v>2.0446897355172553E-3</v>
      </c>
      <c r="K16" s="2"/>
      <c r="O16" s="2"/>
    </row>
    <row r="17" spans="2:15" x14ac:dyDescent="0.25">
      <c r="B17" s="5">
        <v>8</v>
      </c>
      <c r="C17" s="5">
        <v>76.239999999999995</v>
      </c>
      <c r="D17" s="4">
        <f t="shared" si="0"/>
        <v>-5.2452138627176513E-4</v>
      </c>
      <c r="E17" s="5" cm="1">
        <f t="array" ref="E17">EWMA($D$10:$D17,E$6)</f>
        <v>4.5677078237549296E-6</v>
      </c>
      <c r="F17" s="5" cm="1">
        <f t="array" ref="F17">EWMA($D$10:$D17,F$6)</f>
        <v>5.7197810749975986E-6</v>
      </c>
      <c r="G17" s="6">
        <f>SQRT(E17)</f>
        <v>2.1372196479901005E-3</v>
      </c>
      <c r="H17" s="6">
        <f>SQRT(F17)</f>
        <v>2.3916063796113269E-3</v>
      </c>
      <c r="I17" s="8">
        <f>STDEV(D$10:D17)</f>
        <v>2.1599673697529202E-3</v>
      </c>
      <c r="K17" s="2"/>
      <c r="O17" s="2"/>
    </row>
    <row r="18" spans="2:15" x14ac:dyDescent="0.25">
      <c r="B18" s="5">
        <v>9</v>
      </c>
      <c r="C18" s="5">
        <v>76.22</v>
      </c>
      <c r="D18" s="4">
        <f t="shared" si="0"/>
        <v>-2.6236390023246447E-4</v>
      </c>
      <c r="E18" s="5" cm="1">
        <f t="array" ref="E18">EWMA($D$10:$D18,E$6)</f>
        <v>4.1178204663872009E-6</v>
      </c>
      <c r="F18" s="5" cm="1">
        <f t="array" ref="F18">EWMA($D$10:$D18,F$6)</f>
        <v>4.8721394354522829E-6</v>
      </c>
      <c r="G18" s="6">
        <f>SQRT(E18)</f>
        <v>2.0292413524239054E-3</v>
      </c>
      <c r="H18" s="6">
        <f>SQRT(F18)</f>
        <v>2.2072923312176579E-3</v>
      </c>
      <c r="I18" s="8">
        <f>STDEV(D$10:D18)</f>
        <v>2.1624688796086002E-3</v>
      </c>
      <c r="K18" s="2"/>
      <c r="O18" s="2"/>
    </row>
    <row r="19" spans="2:15" x14ac:dyDescent="0.25">
      <c r="B19" s="5">
        <v>10</v>
      </c>
      <c r="C19" s="5">
        <v>76.36</v>
      </c>
      <c r="D19" s="4">
        <f t="shared" si="0"/>
        <v>1.8351034118326058E-3</v>
      </c>
      <c r="E19" s="5" cm="1">
        <f t="array" ref="E19">EWMA($D$10:$D19,E$6)</f>
        <v>4.0427987904045892E-6</v>
      </c>
      <c r="F19" s="5" cm="1">
        <f t="array" ref="F19">EWMA($D$10:$D19,F$6)</f>
        <v>4.6464591056949445E-6</v>
      </c>
      <c r="G19" s="6">
        <f>SQRT(E19)</f>
        <v>2.0106712288200149E-3</v>
      </c>
      <c r="H19" s="6">
        <f>SQRT(F19)</f>
        <v>2.1555646837186178E-3</v>
      </c>
      <c r="I19" s="8">
        <f>STDEV(D$10:D19)</f>
        <v>2.0388389654518954E-3</v>
      </c>
      <c r="K19" s="2"/>
      <c r="O19" s="2"/>
    </row>
    <row r="20" spans="2:15" x14ac:dyDescent="0.25">
      <c r="B20" s="5">
        <v>11</v>
      </c>
      <c r="C20" s="5">
        <v>76.64</v>
      </c>
      <c r="D20" s="4">
        <f t="shared" si="0"/>
        <v>3.6601348050583331E-3</v>
      </c>
      <c r="E20" s="5" cm="1">
        <f t="array" ref="E20">EWMA($D$10:$D20,E$6)</f>
        <v>4.9781776991775217E-6</v>
      </c>
      <c r="F20" s="5" cm="1">
        <f t="array" ref="F20">EWMA($D$10:$D20,F$6)</f>
        <v>5.9589781051805346E-6</v>
      </c>
      <c r="G20" s="6">
        <f>SQRT(E20)</f>
        <v>2.2311830268217626E-3</v>
      </c>
      <c r="H20" s="6">
        <f>SQRT(F20)</f>
        <v>2.4411018219608403E-3</v>
      </c>
      <c r="I20" s="8">
        <f>STDEV(D$10:D20)</f>
        <v>2.0141295943870005E-3</v>
      </c>
      <c r="K20" s="2"/>
      <c r="N20" s="1"/>
      <c r="O20" s="2"/>
    </row>
    <row r="21" spans="2:15" x14ac:dyDescent="0.25">
      <c r="B21" s="5">
        <v>12</v>
      </c>
      <c r="C21" s="5">
        <v>76.55</v>
      </c>
      <c r="D21" s="4">
        <f t="shared" si="0"/>
        <v>-1.1750115589123902E-3</v>
      </c>
      <c r="E21" s="5" cm="1">
        <f t="array" ref="E21">EWMA($D$10:$D21,E$6)</f>
        <v>4.6184250801495352E-6</v>
      </c>
      <c r="F21" s="5" cm="1">
        <f t="array" ref="F21">EWMA($D$10:$D21,F$6)</f>
        <v>5.2722293379936502E-6</v>
      </c>
      <c r="G21" s="6">
        <f>SQRT(E21)</f>
        <v>2.1490521352795365E-3</v>
      </c>
      <c r="H21" s="6">
        <f>SQRT(F21)</f>
        <v>2.2961335627514463E-3</v>
      </c>
      <c r="I21" s="8">
        <f>STDEV(D$10:D21)</f>
        <v>2.1237530946776749E-3</v>
      </c>
      <c r="K21" s="2"/>
      <c r="O21" s="2"/>
    </row>
    <row r="22" spans="2:15" x14ac:dyDescent="0.25">
      <c r="B22" s="5">
        <v>13</v>
      </c>
      <c r="C22" s="5">
        <v>76.56</v>
      </c>
      <c r="D22" s="4">
        <f t="shared" si="0"/>
        <v>1.3062504100623217E-4</v>
      </c>
      <c r="E22" s="5" cm="1">
        <f t="array" ref="E22">EWMA($D$10:$D22,E$6)</f>
        <v>4.1582887134739011E-6</v>
      </c>
      <c r="F22" s="5" cm="1">
        <f t="array" ref="F22">EWMA($D$10:$D22,F$6)</f>
        <v>4.4839544457442315E-6</v>
      </c>
      <c r="G22" s="6">
        <f>SQRT(E22)</f>
        <v>2.0391882486602117E-3</v>
      </c>
      <c r="H22" s="6">
        <f>SQRT(F22)</f>
        <v>2.1175349928027709E-3</v>
      </c>
      <c r="I22" s="8">
        <f>STDEV(D$10:D22)</f>
        <v>2.0796759209831327E-3</v>
      </c>
      <c r="K22" s="2"/>
      <c r="O22" s="2"/>
    </row>
    <row r="23" spans="2:15" x14ac:dyDescent="0.25">
      <c r="B23" s="5">
        <v>14</v>
      </c>
      <c r="C23" s="5">
        <v>76.41</v>
      </c>
      <c r="D23" s="4">
        <f t="shared" si="0"/>
        <v>-1.9611694852235441E-3</v>
      </c>
      <c r="E23" s="5" cm="1">
        <f t="array" ref="E23">EWMA($D$10:$D23,E$6)</f>
        <v>4.1270783786018228E-6</v>
      </c>
      <c r="F23" s="5" cm="1">
        <f t="array" ref="F23">EWMA($D$10:$D23,F$6)</f>
        <v>4.3882891808122437E-6</v>
      </c>
      <c r="G23" s="6">
        <f>SQRT(E23)</f>
        <v>2.0315211981669851E-3</v>
      </c>
      <c r="H23" s="6">
        <f>SQRT(F23)</f>
        <v>2.0948243794677024E-3</v>
      </c>
      <c r="I23" s="8">
        <f>STDEV(D$10:D23)</f>
        <v>2.2113066407401286E-3</v>
      </c>
      <c r="K23" s="2"/>
      <c r="O23" s="2"/>
    </row>
    <row r="24" spans="2:15" x14ac:dyDescent="0.25">
      <c r="B24" s="5">
        <v>15</v>
      </c>
      <c r="C24" s="5">
        <v>76.62</v>
      </c>
      <c r="D24" s="4">
        <f t="shared" si="0"/>
        <v>2.74456161302776E-3</v>
      </c>
      <c r="E24" s="5" cm="1">
        <f t="array" ref="E24">EWMA($D$10:$D24,E$6)</f>
        <v>4.4676324305603643E-6</v>
      </c>
      <c r="F24" s="5" cm="1">
        <f t="array" ref="F24">EWMA($D$10:$D24,F$6)</f>
        <v>4.8599383993819245E-6</v>
      </c>
      <c r="G24" s="6">
        <f>SQRT(E24)</f>
        <v>2.1136774660672247E-3</v>
      </c>
      <c r="H24" s="6">
        <f>SQRT(F24)</f>
        <v>2.2045267971566879E-3</v>
      </c>
      <c r="I24" s="8">
        <f>STDEV(D$10:D24)</f>
        <v>2.1619263388105185E-3</v>
      </c>
      <c r="K24" s="2"/>
      <c r="O24" s="2"/>
    </row>
    <row r="25" spans="2:15" x14ac:dyDescent="0.25">
      <c r="B25" s="5">
        <v>16</v>
      </c>
      <c r="C25" s="5">
        <v>77.03</v>
      </c>
      <c r="D25" s="4">
        <f t="shared" si="0"/>
        <v>5.3368170923713855E-3</v>
      </c>
      <c r="E25" s="5" cm="1">
        <f t="array" ref="E25">EWMA($D$10:$D25,E$6)</f>
        <v>6.8690313551611482E-6</v>
      </c>
      <c r="F25" s="5" cm="1">
        <f t="array" ref="F25">EWMA($D$10:$D25,F$6)</f>
        <v>8.4031895215552765E-6</v>
      </c>
      <c r="G25" s="6">
        <f>SQRT(E25)</f>
        <v>2.6208836973740648E-3</v>
      </c>
      <c r="H25" s="6">
        <f>SQRT(F25)</f>
        <v>2.8988255417591582E-3</v>
      </c>
      <c r="I25" s="8">
        <f>STDEV(D$10:D25)</f>
        <v>2.3062712724290922E-3</v>
      </c>
      <c r="K25" s="2"/>
      <c r="O25" s="2"/>
    </row>
    <row r="26" spans="2:15" x14ac:dyDescent="0.25">
      <c r="B26" s="5">
        <v>17</v>
      </c>
      <c r="C26" s="5">
        <v>77.09</v>
      </c>
      <c r="D26" s="4">
        <f t="shared" si="0"/>
        <v>7.7861410629643179E-4</v>
      </c>
      <c r="E26" s="5" cm="1">
        <f t="array" ref="E26">EWMA($D$10:$D26,E$6)</f>
        <v>6.242752076168756E-6</v>
      </c>
      <c r="F26" s="5" cm="1">
        <f t="array" ref="F26">EWMA($D$10:$D26,F$6)</f>
        <v>7.2336474102319137E-6</v>
      </c>
      <c r="G26" s="6">
        <f>SQRT(E26)</f>
        <v>2.498549994730695E-3</v>
      </c>
      <c r="H26" s="6">
        <f>SQRT(F26)</f>
        <v>2.6895440896612783E-3</v>
      </c>
      <c r="I26" s="8">
        <f>STDEV(D$10:D26)</f>
        <v>2.2434593552436211E-3</v>
      </c>
      <c r="K26" s="2"/>
      <c r="O26" s="2"/>
    </row>
    <row r="27" spans="2:15" x14ac:dyDescent="0.25">
      <c r="B27" s="5">
        <v>18</v>
      </c>
      <c r="C27" s="5">
        <v>77.11</v>
      </c>
      <c r="D27" s="4">
        <f t="shared" si="0"/>
        <v>2.5940337369832186E-4</v>
      </c>
      <c r="E27" s="5" cm="1">
        <f t="array" ref="E27">EWMA($D$10:$D27,E$6)</f>
        <v>5.6252056918060234E-6</v>
      </c>
      <c r="F27" s="5" cm="1">
        <f t="array" ref="F27">EWMA($D$10:$D27,F$6)</f>
        <v>6.1586940631741527E-6</v>
      </c>
      <c r="G27" s="6">
        <f>SQRT(E27)</f>
        <v>2.3717516083700718E-3</v>
      </c>
      <c r="H27" s="6">
        <f>SQRT(F27)</f>
        <v>2.481671626781866E-3</v>
      </c>
      <c r="I27" s="8">
        <f>STDEV(D$10:D27)</f>
        <v>2.1998649630816411E-3</v>
      </c>
      <c r="K27" s="2"/>
      <c r="O27" s="2"/>
    </row>
    <row r="28" spans="2:15" x14ac:dyDescent="0.25">
      <c r="B28" s="5">
        <v>19</v>
      </c>
      <c r="C28" s="5">
        <v>77.08</v>
      </c>
      <c r="D28" s="4">
        <f t="shared" si="0"/>
        <v>-3.8913029870365308E-4</v>
      </c>
      <c r="E28" s="5" cm="1">
        <f t="array" ref="E28">EWMA($D$10:$D28,E$6)</f>
        <v>5.0778273328333512E-6</v>
      </c>
      <c r="F28" s="5" cm="1">
        <f t="array" ref="F28">EWMA($D$10:$D28,F$6)</f>
        <v>5.2576033489626361E-6</v>
      </c>
      <c r="G28" s="6">
        <f>SQRT(E28)</f>
        <v>2.2534034997827956E-3</v>
      </c>
      <c r="H28" s="6">
        <f>SQRT(F28)</f>
        <v>2.2929464339496979E-3</v>
      </c>
      <c r="I28" s="8">
        <f>STDEV(D$10:D28)</f>
        <v>2.1832776409627459E-3</v>
      </c>
      <c r="K28" s="2"/>
      <c r="O28" s="2"/>
    </row>
    <row r="29" spans="2:15" x14ac:dyDescent="0.25">
      <c r="B29" s="5">
        <v>20</v>
      </c>
      <c r="C29" s="5">
        <v>77.100000000000009</v>
      </c>
      <c r="D29" s="4">
        <f t="shared" si="0"/>
        <v>2.5943702311833922E-4</v>
      </c>
      <c r="E29" s="5" cm="1">
        <f t="array" ref="E29">EWMA($D$10:$D29,E$6)</f>
        <v>4.5767751098990672E-6</v>
      </c>
      <c r="F29" s="5" cm="1">
        <f t="array" ref="F29">EWMA($D$10:$D29,F$6)</f>
        <v>4.4790593639598697E-6</v>
      </c>
      <c r="G29" s="6">
        <f>SQRT(E29)</f>
        <v>2.1393398771347829E-3</v>
      </c>
      <c r="H29" s="6">
        <f>SQRT(F29)</f>
        <v>2.1163788328085E-3</v>
      </c>
      <c r="I29" s="8">
        <f>STDEV(D$10:D29)</f>
        <v>2.1413738959088768E-3</v>
      </c>
      <c r="K29" s="2"/>
      <c r="O29" s="2"/>
    </row>
    <row r="30" spans="2:15" x14ac:dyDescent="0.25">
      <c r="B30" s="5">
        <v>21</v>
      </c>
      <c r="C30" s="5">
        <v>76.63</v>
      </c>
      <c r="D30" s="4">
        <f t="shared" si="0"/>
        <v>-6.1146355869710588E-3</v>
      </c>
      <c r="E30" s="5" cm="1">
        <f t="array" ref="E30">EWMA($D11:$D30,E$6)</f>
        <v>7.857110830566949E-6</v>
      </c>
      <c r="F30" s="5" cm="1">
        <f t="array" ref="F30">EWMA($D11:$D30,F$6)</f>
        <v>9.4151015934129667E-6</v>
      </c>
      <c r="G30" s="6">
        <f>SQRT(E30)</f>
        <v>2.803053840112057E-3</v>
      </c>
      <c r="H30" s="6">
        <f>SQRT(F30)</f>
        <v>3.0684037533240255E-3</v>
      </c>
      <c r="I30" s="8">
        <f>STDEV(D11:D30)</f>
        <v>2.7147529076564638E-3</v>
      </c>
      <c r="K30" s="2"/>
      <c r="O30" s="2"/>
    </row>
    <row r="31" spans="2:15" x14ac:dyDescent="0.25">
      <c r="B31" s="5">
        <v>22</v>
      </c>
      <c r="C31" s="5">
        <v>76.7</v>
      </c>
      <c r="D31" s="4">
        <f t="shared" si="0"/>
        <v>9.1306339089754554E-4</v>
      </c>
      <c r="E31" s="5" cm="1">
        <f t="array" ref="E31">EWMA($D12:$D31,E$6)</f>
        <v>6.7936116136535496E-6</v>
      </c>
      <c r="F31" s="5" cm="1">
        <f t="array" ref="F31">EWMA($D12:$D31,F$6)</f>
        <v>7.9551799684329794E-6</v>
      </c>
      <c r="G31" s="6">
        <f>SQRT(E31)</f>
        <v>2.6064557570873036E-3</v>
      </c>
      <c r="H31" s="6">
        <f>SQRT(F31)</f>
        <v>2.8204928591352573E-3</v>
      </c>
      <c r="I31" s="8">
        <f t="shared" ref="I31:I94" si="1">STDEV(D12:D31)</f>
        <v>2.5106135321221199E-3</v>
      </c>
      <c r="K31" s="2"/>
      <c r="O31" s="2"/>
    </row>
    <row r="32" spans="2:15" x14ac:dyDescent="0.25">
      <c r="B32" s="5">
        <v>23</v>
      </c>
      <c r="C32" s="5">
        <v>77.040000000000006</v>
      </c>
      <c r="D32" s="4">
        <f t="shared" si="0"/>
        <v>4.423059116659714E-3</v>
      </c>
      <c r="E32" s="5" cm="1">
        <f t="array" ref="E32">EWMA($D13:$D32,E$6)</f>
        <v>8.0601352353548705E-6</v>
      </c>
      <c r="F32" s="5" cm="1">
        <f t="array" ref="F32">EWMA($D13:$D32,F$6)</f>
        <v>9.6914183704277512E-6</v>
      </c>
      <c r="G32" s="6">
        <f>SQRT(E32)</f>
        <v>2.8390377305268191E-3</v>
      </c>
      <c r="H32" s="6">
        <f>SQRT(F32)</f>
        <v>3.113104298032392E-3</v>
      </c>
      <c r="I32" s="8">
        <f t="shared" si="1"/>
        <v>2.6359486566970261E-3</v>
      </c>
      <c r="K32" s="2"/>
      <c r="O32" s="2"/>
    </row>
    <row r="33" spans="2:15" x14ac:dyDescent="0.25">
      <c r="B33" s="5">
        <v>24</v>
      </c>
      <c r="C33" s="5">
        <v>76.97</v>
      </c>
      <c r="D33" s="4">
        <f t="shared" si="0"/>
        <v>-9.0903194364414354E-4</v>
      </c>
      <c r="E33" s="5" cm="1">
        <f t="array" ref="E33">EWMA($D14:$D33,E$6)</f>
        <v>7.2752553305632794E-6</v>
      </c>
      <c r="F33" s="5" cm="1">
        <f t="array" ref="F33">EWMA($D14:$D33,F$6)</f>
        <v>8.3322461885415589E-6</v>
      </c>
      <c r="G33" s="6">
        <f>SQRT(E33)</f>
        <v>2.6972681235952942E-3</v>
      </c>
      <c r="H33" s="6">
        <f>SQRT(F33)</f>
        <v>2.886563040805026E-3</v>
      </c>
      <c r="I33" s="8">
        <f t="shared" si="1"/>
        <v>2.6523311127588604E-3</v>
      </c>
      <c r="K33" s="2"/>
      <c r="O33" s="2"/>
    </row>
    <row r="34" spans="2:15" x14ac:dyDescent="0.25">
      <c r="B34" s="5">
        <v>25</v>
      </c>
      <c r="C34" s="5">
        <v>76.88</v>
      </c>
      <c r="D34" s="4">
        <f t="shared" si="0"/>
        <v>-1.1699708841890514E-3</v>
      </c>
      <c r="E34" s="5" cm="1">
        <f t="array" ref="E34">EWMA($D15:$D34,E$6)</f>
        <v>6.6837635424588093E-6</v>
      </c>
      <c r="F34" s="5" cm="1">
        <f t="array" ref="F34">EWMA($D15:$D34,F$6)</f>
        <v>7.2873284047703102E-6</v>
      </c>
      <c r="G34" s="6">
        <f>SQRT(E34)</f>
        <v>2.5852975732899314E-3</v>
      </c>
      <c r="H34" s="6">
        <f>SQRT(F34)</f>
        <v>2.6995052148070229E-3</v>
      </c>
      <c r="I34" s="8">
        <f t="shared" si="1"/>
        <v>2.6881961010151848E-3</v>
      </c>
      <c r="K34" s="2"/>
      <c r="O34" s="2"/>
    </row>
    <row r="35" spans="2:15" x14ac:dyDescent="0.25">
      <c r="B35" s="5">
        <v>26</v>
      </c>
      <c r="C35" s="5">
        <v>76.75</v>
      </c>
      <c r="D35" s="4">
        <f t="shared" si="0"/>
        <v>-1.6923781947304943E-3</v>
      </c>
      <c r="E35" s="5" cm="1">
        <f t="array" ref="E35">EWMA($D16:$D35,E$6)</f>
        <v>6.0986965280396266E-6</v>
      </c>
      <c r="F35" s="5" cm="1">
        <f t="array" ref="F35">EWMA($D16:$D35,F$6)</f>
        <v>6.5267238015531692E-6</v>
      </c>
      <c r="G35" s="6">
        <f>SQRT(E35)</f>
        <v>2.4695539127623082E-3</v>
      </c>
      <c r="H35" s="6">
        <f>SQRT(F35)</f>
        <v>2.5547453496489957E-3</v>
      </c>
      <c r="I35" s="8">
        <f t="shared" si="1"/>
        <v>2.6238347549806095E-3</v>
      </c>
      <c r="K35" s="2"/>
      <c r="O35" s="2"/>
    </row>
    <row r="36" spans="2:15" x14ac:dyDescent="0.25">
      <c r="B36" s="5">
        <v>27</v>
      </c>
      <c r="C36" s="5">
        <v>76.930000000000007</v>
      </c>
      <c r="D36" s="4">
        <f t="shared" si="0"/>
        <v>2.3425310035367483E-3</v>
      </c>
      <c r="E36" s="5" cm="1">
        <f t="array" ref="E36">EWMA($D17:$D36,E$6)</f>
        <v>5.8731567606495894E-6</v>
      </c>
      <c r="F36" s="5" cm="1">
        <f t="array" ref="F36">EWMA($D17:$D36,F$6)</f>
        <v>6.2922078485627697E-6</v>
      </c>
      <c r="G36" s="6">
        <f>SQRT(E36)</f>
        <v>2.4234596676341838E-3</v>
      </c>
      <c r="H36" s="6">
        <f>SQRT(F36)</f>
        <v>2.5084273656143146E-3</v>
      </c>
      <c r="I36" s="8">
        <f t="shared" si="1"/>
        <v>2.5545762750208562E-3</v>
      </c>
      <c r="K36" s="2"/>
      <c r="O36" s="2"/>
    </row>
    <row r="37" spans="2:15" x14ac:dyDescent="0.25">
      <c r="B37" s="5">
        <v>28</v>
      </c>
      <c r="C37" s="5">
        <v>77.180000000000007</v>
      </c>
      <c r="D37" s="4">
        <f t="shared" si="0"/>
        <v>3.2444386386294641E-3</v>
      </c>
      <c r="E37" s="5" cm="1">
        <f t="array" ref="E37">EWMA($D18:$D37,E$6)</f>
        <v>6.3351347583673334E-6</v>
      </c>
      <c r="F37" s="5" cm="1">
        <f t="array" ref="F37">EWMA($D18:$D37,F$6)</f>
        <v>6.9257341759609847E-6</v>
      </c>
      <c r="G37" s="6">
        <f>SQRT(E37)</f>
        <v>2.5169693598387989E-3</v>
      </c>
      <c r="H37" s="6">
        <f>SQRT(F37)</f>
        <v>2.6316789652161194E-3</v>
      </c>
      <c r="I37" s="8">
        <f t="shared" si="1"/>
        <v>2.6191032138122316E-3</v>
      </c>
      <c r="K37" s="2"/>
      <c r="O37" s="2"/>
    </row>
    <row r="38" spans="2:15" x14ac:dyDescent="0.25">
      <c r="B38" s="5">
        <v>29</v>
      </c>
      <c r="C38" s="5">
        <v>77.05</v>
      </c>
      <c r="D38" s="4">
        <f t="shared" si="0"/>
        <v>-1.685794343348064E-3</v>
      </c>
      <c r="E38" s="5" cm="1">
        <f t="array" ref="E38">EWMA($D19:$D38,E$6)</f>
        <v>5.984974527833975E-6</v>
      </c>
      <c r="F38" s="5" cm="1">
        <f t="array" ref="F38">EWMA($D19:$D38,F$6)</f>
        <v>6.3127592949963063E-6</v>
      </c>
      <c r="G38" s="6">
        <f>SQRT(E38)</f>
        <v>2.4464207585437906E-3</v>
      </c>
      <c r="H38" s="6">
        <f>SQRT(F38)</f>
        <v>2.5125205063832425E-3</v>
      </c>
      <c r="I38" s="8">
        <f t="shared" si="1"/>
        <v>2.6631044085569928E-3</v>
      </c>
      <c r="K38" s="2"/>
      <c r="O38" s="2"/>
    </row>
    <row r="39" spans="2:15" x14ac:dyDescent="0.25">
      <c r="B39" s="5">
        <v>30</v>
      </c>
      <c r="C39" s="5">
        <v>77.33</v>
      </c>
      <c r="D39" s="4">
        <f t="shared" si="0"/>
        <v>3.6274168548193222E-3</v>
      </c>
      <c r="E39" s="5" cm="1">
        <f t="array" ref="E39">EWMA($D20:$D39,E$6)</f>
        <v>6.6613504123569367E-6</v>
      </c>
      <c r="F39" s="5" cm="1">
        <f t="array" ref="F39">EWMA($D20:$D39,F$6)</f>
        <v>7.3199893455416776E-6</v>
      </c>
      <c r="G39" s="6">
        <f>SQRT(E39)</f>
        <v>2.5809592039311539E-3</v>
      </c>
      <c r="H39" s="6">
        <f>SQRT(F39)</f>
        <v>2.7055478826924647E-3</v>
      </c>
      <c r="I39" s="8">
        <f t="shared" si="1"/>
        <v>2.7380276321602925E-3</v>
      </c>
      <c r="K39" s="2"/>
      <c r="O39" s="2"/>
    </row>
    <row r="40" spans="2:15" x14ac:dyDescent="0.25">
      <c r="B40" s="5">
        <v>31</v>
      </c>
      <c r="C40" s="5">
        <v>77.570000000000007</v>
      </c>
      <c r="D40" s="4">
        <f t="shared" si="0"/>
        <v>3.0987758818362878E-3</v>
      </c>
      <c r="E40" s="5" cm="1">
        <f t="array" ref="E40">EWMA($D21:$D40,E$6)</f>
        <v>6.792585473203161E-6</v>
      </c>
      <c r="F40" s="5" cm="1">
        <f t="array" ref="F40">EWMA($D21:$D40,F$6)</f>
        <v>7.584465698762255E-6</v>
      </c>
      <c r="G40" s="6">
        <f>SQRT(E40)</f>
        <v>2.6062589037168125E-3</v>
      </c>
      <c r="H40" s="6">
        <f>SQRT(F40)</f>
        <v>2.7539908675887534E-3</v>
      </c>
      <c r="I40" s="8">
        <f t="shared" si="1"/>
        <v>2.7080560340777462E-3</v>
      </c>
      <c r="K40" s="2"/>
      <c r="O40" s="2"/>
    </row>
    <row r="41" spans="2:15" x14ac:dyDescent="0.25">
      <c r="B41" s="5">
        <v>32</v>
      </c>
      <c r="C41" s="5">
        <v>77.52</v>
      </c>
      <c r="D41" s="4">
        <f t="shared" si="0"/>
        <v>-6.4478692026958878E-4</v>
      </c>
      <c r="E41" s="5" cm="1">
        <f t="array" ref="E41">EWMA($D22:$D41,E$6)</f>
        <v>6.1381161271523155E-6</v>
      </c>
      <c r="F41" s="5" cm="1">
        <f t="array" ref="F41">EWMA($D22:$D41,F$6)</f>
        <v>6.5011315512203405E-6</v>
      </c>
      <c r="G41" s="6">
        <f>SQRT(E41)</f>
        <v>2.4775221749062742E-3</v>
      </c>
      <c r="H41" s="6">
        <f>SQRT(F41)</f>
        <v>2.5497316625912501E-3</v>
      </c>
      <c r="I41" s="8">
        <f t="shared" si="1"/>
        <v>2.6922822096919524E-3</v>
      </c>
      <c r="K41" s="2"/>
      <c r="O41" s="2"/>
    </row>
    <row r="42" spans="2:15" x14ac:dyDescent="0.25">
      <c r="B42" s="5">
        <v>33</v>
      </c>
      <c r="C42" s="5">
        <v>77.48</v>
      </c>
      <c r="D42" s="4">
        <f t="shared" si="0"/>
        <v>-5.1612904371552192E-4</v>
      </c>
      <c r="E42" s="5" cm="1">
        <f t="array" ref="E42">EWMA($D23:$D42,E$6)</f>
        <v>5.550735801662654E-6</v>
      </c>
      <c r="F42" s="5" cm="1">
        <f t="array" ref="F42">EWMA($D23:$D42,F$6)</f>
        <v>5.565821273312288E-6</v>
      </c>
      <c r="G42" s="6">
        <f>SQRT(E42)</f>
        <v>2.355999957908033E-3</v>
      </c>
      <c r="H42" s="6">
        <f>SQRT(F42)</f>
        <v>2.3591992864767249E-3</v>
      </c>
      <c r="I42" s="8">
        <f t="shared" si="1"/>
        <v>2.7024558123047672E-3</v>
      </c>
      <c r="K42" s="2"/>
      <c r="O42" s="2"/>
    </row>
    <row r="43" spans="2:15" x14ac:dyDescent="0.25">
      <c r="B43" s="5">
        <v>34</v>
      </c>
      <c r="C43" s="5">
        <v>77.460000000000008</v>
      </c>
      <c r="D43" s="4">
        <f t="shared" si="0"/>
        <v>-2.5816445218899075E-4</v>
      </c>
      <c r="E43" s="5" cm="1">
        <f t="array" ref="E43">EWMA($D24:$D43,E$6)</f>
        <v>4.9555663936828864E-6</v>
      </c>
      <c r="F43" s="5" cm="1">
        <f t="array" ref="F43">EWMA($D24:$D43,F$6)</f>
        <v>4.7185840220120845E-6</v>
      </c>
      <c r="G43" s="6">
        <f>SQRT(E43)</f>
        <v>2.2261101485961756E-3</v>
      </c>
      <c r="H43" s="6">
        <f>SQRT(F43)</f>
        <v>2.1722301954470859E-3</v>
      </c>
      <c r="I43" s="8">
        <f t="shared" si="1"/>
        <v>2.6437939015420847E-3</v>
      </c>
      <c r="K43" s="2"/>
      <c r="O43" s="2"/>
    </row>
    <row r="44" spans="2:15" x14ac:dyDescent="0.25">
      <c r="B44" s="5">
        <v>35</v>
      </c>
      <c r="C44" s="5">
        <v>77.47</v>
      </c>
      <c r="D44" s="4">
        <f t="shared" si="0"/>
        <v>1.2909055720479714E-4</v>
      </c>
      <c r="E44" s="5" cm="1">
        <f t="array" ref="E44">EWMA($D25:$D44,E$6)</f>
        <v>4.3700969519777644E-6</v>
      </c>
      <c r="F44" s="5" cm="1">
        <f t="array" ref="F44">EWMA($D25:$D44,F$6)</f>
        <v>3.9695020389585167E-6</v>
      </c>
      <c r="G44" s="6">
        <f>SQRT(E44)</f>
        <v>2.0904776851183473E-3</v>
      </c>
      <c r="H44" s="6">
        <f>SQRT(F44)</f>
        <v>1.9923609208570914E-3</v>
      </c>
      <c r="I44" s="8">
        <f t="shared" si="1"/>
        <v>2.6007580805975628E-3</v>
      </c>
      <c r="K44" s="2"/>
      <c r="O44" s="2"/>
    </row>
    <row r="45" spans="2:15" x14ac:dyDescent="0.25">
      <c r="B45" s="5">
        <v>36</v>
      </c>
      <c r="C45" s="5">
        <v>77.55</v>
      </c>
      <c r="D45" s="4">
        <f t="shared" si="0"/>
        <v>1.0321249787365715E-3</v>
      </c>
      <c r="E45" s="5" cm="1">
        <f t="array" ref="E45">EWMA($D26:$D45,E$6)</f>
        <v>3.6933455979104579E-6</v>
      </c>
      <c r="F45" s="5" cm="1">
        <f t="array" ref="F45">EWMA($D26:$D45,F$6)</f>
        <v>3.3682788661559826E-6</v>
      </c>
      <c r="G45" s="6">
        <f>SQRT(E45)</f>
        <v>1.9218078982849607E-3</v>
      </c>
      <c r="H45" s="6">
        <f>SQRT(F45)</f>
        <v>1.8352871345258166E-3</v>
      </c>
      <c r="I45" s="8">
        <f t="shared" si="1"/>
        <v>2.3499301379265856E-3</v>
      </c>
      <c r="K45" s="2"/>
      <c r="O45" s="2"/>
    </row>
    <row r="46" spans="2:15" x14ac:dyDescent="0.25">
      <c r="B46" s="5">
        <v>37</v>
      </c>
      <c r="C46" s="5">
        <v>77.62</v>
      </c>
      <c r="D46" s="4">
        <f t="shared" si="0"/>
        <v>9.0223631821248983E-4</v>
      </c>
      <c r="E46" s="5" cm="1">
        <f t="array" ref="E46">EWMA($D27:$D46,E$6)</f>
        <v>3.3980434926972336E-6</v>
      </c>
      <c r="F46" s="5" cm="1">
        <f t="array" ref="F46">EWMA($D27:$D46,F$6)</f>
        <v>2.9816170470098324E-6</v>
      </c>
      <c r="G46" s="6">
        <f>SQRT(E46)</f>
        <v>1.8433782825826156E-3</v>
      </c>
      <c r="H46" s="6">
        <f>SQRT(F46)</f>
        <v>1.7267359517337422E-3</v>
      </c>
      <c r="I46" s="8">
        <f t="shared" si="1"/>
        <v>2.3513167143818505E-3</v>
      </c>
      <c r="K46" s="2"/>
      <c r="O46" s="2"/>
    </row>
    <row r="47" spans="2:15" x14ac:dyDescent="0.25">
      <c r="B47" s="5">
        <v>38</v>
      </c>
      <c r="C47" s="5">
        <v>77.62</v>
      </c>
      <c r="D47" s="4">
        <f t="shared" si="0"/>
        <v>0</v>
      </c>
      <c r="E47" s="5" cm="1">
        <f t="array" ref="E47">EWMA($D28:$D47,E$6)</f>
        <v>3.0574210043710082E-6</v>
      </c>
      <c r="F47" s="5" cm="1">
        <f t="array" ref="F47">EWMA($D28:$D47,F$6)</f>
        <v>2.533983324448652E-6</v>
      </c>
      <c r="G47" s="6">
        <f>SQRT(E47)</f>
        <v>1.7485482562317254E-3</v>
      </c>
      <c r="H47" s="6">
        <f>SQRT(F47)</f>
        <v>1.5918490269019397E-3</v>
      </c>
      <c r="I47" s="8">
        <f t="shared" si="1"/>
        <v>2.3525148087221882E-3</v>
      </c>
      <c r="K47" s="2"/>
      <c r="O47" s="2"/>
    </row>
    <row r="48" spans="2:15" x14ac:dyDescent="0.25">
      <c r="B48" s="5">
        <v>39</v>
      </c>
      <c r="C48" s="5">
        <v>77.680000000000007</v>
      </c>
      <c r="D48" s="4">
        <f t="shared" si="0"/>
        <v>7.7269804230917759E-4</v>
      </c>
      <c r="E48" s="5" cm="1">
        <f t="array" ref="E48">EWMA($D29:$D48,E$6)</f>
        <v>2.8095441342856908E-6</v>
      </c>
      <c r="F48" s="5" cm="1">
        <f t="array" ref="F48">EWMA($D29:$D48,F$6)</f>
        <v>2.2425648565638223E-6</v>
      </c>
      <c r="G48" s="6">
        <f>SQRT(E48)</f>
        <v>1.6761694825660354E-3</v>
      </c>
      <c r="H48" s="6">
        <f>SQRT(F48)</f>
        <v>1.4975195680069834E-3</v>
      </c>
      <c r="I48" s="8">
        <f t="shared" si="1"/>
        <v>2.3481733694521337E-3</v>
      </c>
      <c r="K48" s="2"/>
      <c r="O48" s="2"/>
    </row>
    <row r="49" spans="2:15" x14ac:dyDescent="0.25">
      <c r="B49" s="5">
        <v>40</v>
      </c>
      <c r="C49" s="5">
        <v>77.680000000000007</v>
      </c>
      <c r="D49" s="4">
        <f t="shared" si="0"/>
        <v>0</v>
      </c>
      <c r="E49" s="5" cm="1">
        <f t="array" ref="E49">EWMA($D30:$D49,E$6)</f>
        <v>2.5277713032734184E-6</v>
      </c>
      <c r="F49" s="5" cm="1">
        <f t="array" ref="F49">EWMA($D30:$D49,F$6)</f>
        <v>1.9057888773765796E-6</v>
      </c>
      <c r="G49" s="6">
        <f>SQRT(E49)</f>
        <v>1.5898966328895155E-3</v>
      </c>
      <c r="H49" s="6">
        <f>SQRT(F49)</f>
        <v>1.3805031247253951E-3</v>
      </c>
      <c r="I49" s="8">
        <f t="shared" si="1"/>
        <v>2.3496353502064243E-3</v>
      </c>
      <c r="K49" s="2"/>
      <c r="O49" s="2"/>
    </row>
    <row r="50" spans="2:15" x14ac:dyDescent="0.25">
      <c r="B50" s="5">
        <v>41</v>
      </c>
      <c r="C50" s="5">
        <v>77.87</v>
      </c>
      <c r="D50" s="4">
        <f t="shared" si="0"/>
        <v>2.4429456058251342E-3</v>
      </c>
      <c r="E50" s="5" cm="1">
        <f t="array" ref="E50">EWMA($D31:$D50,E$6)</f>
        <v>2.4172326304472413E-6</v>
      </c>
      <c r="F50" s="5" cm="1">
        <f t="array" ref="F50">EWMA($D31:$D50,F$6)</f>
        <v>2.297742164869554E-6</v>
      </c>
      <c r="G50" s="6">
        <f>SQRT(E50)</f>
        <v>1.5547451979174083E-3</v>
      </c>
      <c r="H50" s="6">
        <f>SQRT(F50)</f>
        <v>1.5158305198370806E-3</v>
      </c>
      <c r="I50" s="8">
        <f t="shared" si="1"/>
        <v>1.8266885195436062E-3</v>
      </c>
      <c r="K50" s="2"/>
      <c r="O50" s="2"/>
    </row>
    <row r="51" spans="2:15" x14ac:dyDescent="0.25">
      <c r="B51" s="5">
        <v>42</v>
      </c>
      <c r="C51" s="5">
        <v>77.62</v>
      </c>
      <c r="D51" s="4">
        <f t="shared" si="0"/>
        <v>-3.2156436481344227E-3</v>
      </c>
      <c r="E51" s="5" cm="1">
        <f t="array" ref="E51">EWMA($D32:$D51,E$6)</f>
        <v>3.1994102871468755E-6</v>
      </c>
      <c r="F51" s="5" cm="1">
        <f t="array" ref="F51">EWMA($D32:$D51,F$6)</f>
        <v>3.4992882265716396E-6</v>
      </c>
      <c r="G51" s="6">
        <f>SQRT(E51)</f>
        <v>1.7886895446518592E-3</v>
      </c>
      <c r="H51" s="6">
        <f>SQRT(F51)</f>
        <v>1.8706384542641157E-3</v>
      </c>
      <c r="I51" s="8">
        <f t="shared" si="1"/>
        <v>2.0349686175254998E-3</v>
      </c>
      <c r="K51" s="2"/>
      <c r="O51" s="2"/>
    </row>
    <row r="52" spans="2:15" x14ac:dyDescent="0.25">
      <c r="B52" s="5">
        <v>43</v>
      </c>
      <c r="C52" s="5">
        <v>77.8</v>
      </c>
      <c r="D52" s="4">
        <f t="shared" si="0"/>
        <v>2.3163052435855305E-3</v>
      </c>
      <c r="E52" s="5" cm="1">
        <f t="array" ref="E52">EWMA($D33:$D52,E$6)</f>
        <v>3.1781504607475419E-6</v>
      </c>
      <c r="F52" s="5" cm="1">
        <f t="array" ref="F52">EWMA($D33:$D52,F$6)</f>
        <v>3.6654448798967287E-6</v>
      </c>
      <c r="G52" s="6">
        <f>SQRT(E52)</f>
        <v>1.7827367895310686E-3</v>
      </c>
      <c r="H52" s="6">
        <f>SQRT(F52)</f>
        <v>1.9145351602665147E-3</v>
      </c>
      <c r="I52" s="8">
        <f t="shared" si="1"/>
        <v>1.8746608993564166E-3</v>
      </c>
      <c r="K52" s="2"/>
      <c r="O52" s="2"/>
    </row>
    <row r="53" spans="2:15" x14ac:dyDescent="0.25">
      <c r="B53" s="5">
        <v>44</v>
      </c>
      <c r="C53" s="5">
        <v>77.97</v>
      </c>
      <c r="D53" s="4">
        <f t="shared" si="0"/>
        <v>2.1827061371626141E-3</v>
      </c>
      <c r="E53" s="5" cm="1">
        <f t="array" ref="E53">EWMA($D34:$D53,E$6)</f>
        <v>3.3267097231393095E-6</v>
      </c>
      <c r="F53" s="5" cm="1">
        <f t="array" ref="F53">EWMA($D34:$D53,F$6)</f>
        <v>3.8254547803373562E-6</v>
      </c>
      <c r="G53" s="6">
        <f>SQRT(E53)</f>
        <v>1.8239270059789425E-3</v>
      </c>
      <c r="H53" s="6">
        <f>SQRT(F53)</f>
        <v>1.9558769849705162E-3</v>
      </c>
      <c r="I53" s="8">
        <f t="shared" si="1"/>
        <v>1.8806156012761031E-3</v>
      </c>
      <c r="K53" s="2"/>
      <c r="O53" s="2"/>
    </row>
    <row r="54" spans="2:15" x14ac:dyDescent="0.25">
      <c r="B54" s="5">
        <v>45</v>
      </c>
      <c r="C54" s="5">
        <v>78.22</v>
      </c>
      <c r="D54" s="4">
        <f t="shared" si="0"/>
        <v>3.2012320058594414E-3</v>
      </c>
      <c r="E54" s="5" cm="1">
        <f t="array" ref="E54">EWMA($D35:$D54,E$6)</f>
        <v>4.0021857343197631E-6</v>
      </c>
      <c r="F54" s="5" cm="1">
        <f t="array" ref="F54">EWMA($D35:$D54,F$6)</f>
        <v>4.7808611616795282E-6</v>
      </c>
      <c r="G54" s="6">
        <f>SQRT(E54)</f>
        <v>2.0005463589529144E-3</v>
      </c>
      <c r="H54" s="6">
        <f>SQRT(F54)</f>
        <v>2.1865180451300942E-3</v>
      </c>
      <c r="I54" s="8">
        <f t="shared" si="1"/>
        <v>1.9122698718247858E-3</v>
      </c>
      <c r="K54" s="2"/>
      <c r="O54" s="2"/>
    </row>
    <row r="55" spans="2:15" x14ac:dyDescent="0.25">
      <c r="B55" s="5">
        <v>46</v>
      </c>
      <c r="C55" s="5">
        <v>78.070000000000007</v>
      </c>
      <c r="D55" s="4">
        <f t="shared" si="0"/>
        <v>-1.9195091951683927E-3</v>
      </c>
      <c r="E55" s="5" cm="1">
        <f t="array" ref="E55">EWMA($D36:$D55,E$6)</f>
        <v>3.935597374771227E-6</v>
      </c>
      <c r="F55" s="5" cm="1">
        <f t="array" ref="F55">EWMA($D36:$D55,F$6)</f>
        <v>4.5997573580591755E-6</v>
      </c>
      <c r="G55" s="6">
        <f>SQRT(E55)</f>
        <v>1.9838340088755477E-3</v>
      </c>
      <c r="H55" s="6">
        <f>SQRT(F55)</f>
        <v>2.1447044920126354E-3</v>
      </c>
      <c r="I55" s="8">
        <f t="shared" si="1"/>
        <v>1.9288530918976099E-3</v>
      </c>
      <c r="K55" s="2"/>
      <c r="O55" s="2"/>
    </row>
    <row r="56" spans="2:15" x14ac:dyDescent="0.25">
      <c r="B56" s="5">
        <v>47</v>
      </c>
      <c r="C56" s="5">
        <v>78.06</v>
      </c>
      <c r="D56" s="4">
        <f t="shared" si="0"/>
        <v>-1.2809837973077693E-4</v>
      </c>
      <c r="E56" s="5" cm="1">
        <f t="array" ref="E56">EWMA($D37:$D56,E$6)</f>
        <v>3.4769638564413619E-6</v>
      </c>
      <c r="F56" s="5" cm="1">
        <f t="array" ref="F56">EWMA($D37:$D56,F$6)</f>
        <v>3.8803515926000287E-6</v>
      </c>
      <c r="G56" s="6">
        <f>SQRT(E56)</f>
        <v>1.8646618611537487E-3</v>
      </c>
      <c r="H56" s="6">
        <f>SQRT(F56)</f>
        <v>1.9698608053870274E-3</v>
      </c>
      <c r="I56" s="8">
        <f t="shared" si="1"/>
        <v>1.9074066469066519E-3</v>
      </c>
      <c r="K56" s="2"/>
      <c r="O56" s="2"/>
    </row>
    <row r="57" spans="2:15" x14ac:dyDescent="0.25">
      <c r="B57" s="5">
        <v>48</v>
      </c>
      <c r="C57" s="5">
        <v>78.31</v>
      </c>
      <c r="D57" s="4">
        <f t="shared" si="0"/>
        <v>3.1975470103774817E-3</v>
      </c>
      <c r="E57" s="5" cm="1">
        <f t="array" ref="E57">EWMA($D38:$D57,E$6)</f>
        <v>4.0237222404815309E-6</v>
      </c>
      <c r="F57" s="5" cm="1">
        <f t="array" ref="F57">EWMA($D38:$D57,F$6)</f>
        <v>4.7707451797107669E-6</v>
      </c>
      <c r="G57" s="6">
        <f>SQRT(E57)</f>
        <v>2.0059217932116725E-3</v>
      </c>
      <c r="H57" s="6">
        <f>SQRT(F57)</f>
        <v>2.1842035572974343E-3</v>
      </c>
      <c r="I57" s="8">
        <f t="shared" si="1"/>
        <v>1.9041781446023018E-3</v>
      </c>
      <c r="K57" s="2"/>
      <c r="O57" s="2"/>
    </row>
    <row r="58" spans="2:15" x14ac:dyDescent="0.25">
      <c r="B58" s="5">
        <v>49</v>
      </c>
      <c r="C58" s="5">
        <v>78.33</v>
      </c>
      <c r="D58" s="4">
        <f t="shared" si="0"/>
        <v>2.5536261630088573E-4</v>
      </c>
      <c r="E58" s="5" cm="1">
        <f t="array" ref="E58">EWMA($D39:$D58,E$6)</f>
        <v>3.5933198965498736E-6</v>
      </c>
      <c r="F58" s="5" cm="1">
        <f t="array" ref="F58">EWMA($D39:$D58,F$6)</f>
        <v>4.0483923511858144E-6</v>
      </c>
      <c r="G58" s="6">
        <f>SQRT(E58)</f>
        <v>1.8956054168918894E-3</v>
      </c>
      <c r="H58" s="6">
        <f>SQRT(F58)</f>
        <v>2.0120617165449509E-3</v>
      </c>
      <c r="I58" s="8">
        <f t="shared" si="1"/>
        <v>1.8224540172056894E-3</v>
      </c>
      <c r="K58" s="2"/>
      <c r="O58" s="2"/>
    </row>
    <row r="59" spans="2:15" x14ac:dyDescent="0.25">
      <c r="B59" s="5">
        <v>50</v>
      </c>
      <c r="C59" s="5">
        <v>78.59</v>
      </c>
      <c r="D59" s="4">
        <f t="shared" si="0"/>
        <v>3.3137934989363707E-3</v>
      </c>
      <c r="E59" s="5" cm="1">
        <f t="array" ref="E59">EWMA($D40:$D59,E$6)</f>
        <v>4.1721384349824309E-6</v>
      </c>
      <c r="F59" s="5" cm="1">
        <f t="array" ref="F59">EWMA($D40:$D59,F$6)</f>
        <v>5.0118167334300967E-6</v>
      </c>
      <c r="G59" s="6">
        <f>SQRT(E59)</f>
        <v>2.0425813166144524E-3</v>
      </c>
      <c r="H59" s="6">
        <f>SQRT(F59)</f>
        <v>2.238708720095157E-3</v>
      </c>
      <c r="I59" s="8">
        <f t="shared" si="1"/>
        <v>1.7982494391860359E-3</v>
      </c>
      <c r="K59" s="2"/>
      <c r="O59" s="2"/>
    </row>
    <row r="60" spans="2:15" x14ac:dyDescent="0.25">
      <c r="B60" s="5">
        <v>51</v>
      </c>
      <c r="C60" s="5">
        <v>78.95</v>
      </c>
      <c r="D60" s="4">
        <f t="shared" si="0"/>
        <v>4.5702758235676285E-3</v>
      </c>
      <c r="E60" s="5" cm="1">
        <f t="array" ref="E60">EWMA($D41:$D60,E$6)</f>
        <v>5.7269242546009735E-6</v>
      </c>
      <c r="F60" s="5" cm="1">
        <f t="array" ref="F60">EWMA($D41:$D60,F$6)</f>
        <v>7.3373292239359289E-6</v>
      </c>
      <c r="G60" s="6">
        <f>SQRT(E60)</f>
        <v>2.3930992989428944E-3</v>
      </c>
      <c r="H60" s="6">
        <f>SQRT(F60)</f>
        <v>2.7087504912663937E-3</v>
      </c>
      <c r="I60" s="8">
        <f t="shared" si="1"/>
        <v>1.9227003165815672E-3</v>
      </c>
      <c r="K60" s="2"/>
      <c r="O60" s="2"/>
    </row>
    <row r="61" spans="2:15" x14ac:dyDescent="0.25">
      <c r="B61" s="5">
        <v>52</v>
      </c>
      <c r="C61" s="5">
        <v>79.08</v>
      </c>
      <c r="D61" s="4">
        <f t="shared" si="0"/>
        <v>1.6452576007649502E-3</v>
      </c>
      <c r="E61" s="5" cm="1">
        <f t="array" ref="E61">EWMA($D42:$D61,E$6)</f>
        <v>5.4198644193481638E-6</v>
      </c>
      <c r="F61" s="5" cm="1">
        <f t="array" ref="F61">EWMA($D42:$D61,F$6)</f>
        <v>6.640343735625498E-6</v>
      </c>
      <c r="G61" s="6">
        <f>SQRT(E61)</f>
        <v>2.3280602267441801E-3</v>
      </c>
      <c r="H61" s="6">
        <f>SQRT(F61)</f>
        <v>2.5768864421284649E-3</v>
      </c>
      <c r="I61" s="8">
        <f t="shared" si="1"/>
        <v>1.8949989514968663E-3</v>
      </c>
      <c r="K61" s="2"/>
      <c r="O61" s="2"/>
    </row>
    <row r="62" spans="2:15" x14ac:dyDescent="0.25">
      <c r="B62" s="5">
        <v>53</v>
      </c>
      <c r="C62" s="5">
        <v>79.14</v>
      </c>
      <c r="D62" s="4">
        <f t="shared" si="0"/>
        <v>7.5843765486218004E-4</v>
      </c>
      <c r="E62" s="5" cm="1">
        <f t="array" ref="E62">EWMA($D43:$D62,E$6)</f>
        <v>4.9321619457476373E-6</v>
      </c>
      <c r="F62" s="5" cm="1">
        <f t="array" ref="F62">EWMA($D43:$D62,F$6)</f>
        <v>5.7290278906024783E-6</v>
      </c>
      <c r="G62" s="6">
        <f>SQRT(E62)</f>
        <v>2.2208471234525886E-3</v>
      </c>
      <c r="H62" s="6">
        <f>SQRT(F62)</f>
        <v>2.3935387798409446E-3</v>
      </c>
      <c r="I62" s="8">
        <f t="shared" si="1"/>
        <v>1.8626178714336613E-3</v>
      </c>
      <c r="K62" s="2"/>
      <c r="O62" s="2"/>
    </row>
    <row r="63" spans="2:15" x14ac:dyDescent="0.25">
      <c r="B63" s="5">
        <v>54</v>
      </c>
      <c r="C63" s="5">
        <v>79.14</v>
      </c>
      <c r="D63" s="4">
        <f t="shared" si="0"/>
        <v>0</v>
      </c>
      <c r="E63" s="5" cm="1">
        <f t="array" ref="E63">EWMA($D44:$D63,E$6)</f>
        <v>4.4381352594519141E-6</v>
      </c>
      <c r="F63" s="5" cm="1">
        <f t="array" ref="F63">EWMA($D44:$D63,F$6)</f>
        <v>4.8692863643742812E-6</v>
      </c>
      <c r="G63" s="6">
        <f>SQRT(E63)</f>
        <v>2.1066882207512135E-3</v>
      </c>
      <c r="H63" s="6">
        <f>SQRT(F63)</f>
        <v>2.2066459535626192E-3</v>
      </c>
      <c r="I63" s="8">
        <f t="shared" si="1"/>
        <v>1.8538765587579578E-3</v>
      </c>
      <c r="K63" s="2"/>
      <c r="O63" s="2"/>
    </row>
    <row r="64" spans="2:15" x14ac:dyDescent="0.25">
      <c r="B64" s="5">
        <v>55</v>
      </c>
      <c r="C64" s="5">
        <v>79.320000000000007</v>
      </c>
      <c r="D64" s="4">
        <f t="shared" si="0"/>
        <v>2.271867694317023E-3</v>
      </c>
      <c r="E64" s="5" cm="1">
        <f t="array" ref="E64">EWMA($D45:$D64,E$6)</f>
        <v>4.5102575320643545E-6</v>
      </c>
      <c r="F64" s="5" cm="1">
        <f t="array" ref="F64">EWMA($D45:$D64,F$6)</f>
        <v>4.9130039118661095E-6</v>
      </c>
      <c r="G64" s="6">
        <f>SQRT(E64)</f>
        <v>2.1237366908504348E-3</v>
      </c>
      <c r="H64" s="6">
        <f>SQRT(F64)</f>
        <v>2.216529700199415E-3</v>
      </c>
      <c r="I64" s="8">
        <f t="shared" si="1"/>
        <v>1.8583771285352346E-3</v>
      </c>
      <c r="K64" s="2"/>
      <c r="O64" s="2"/>
    </row>
    <row r="65" spans="2:19" x14ac:dyDescent="0.25">
      <c r="B65" s="5">
        <v>56</v>
      </c>
      <c r="C65" s="5">
        <v>79.38</v>
      </c>
      <c r="D65" s="4">
        <f t="shared" si="0"/>
        <v>7.5614370332387465E-4</v>
      </c>
      <c r="E65" s="5" cm="1">
        <f t="array" ref="E65">EWMA($D46:$D65,E$6)</f>
        <v>4.1034554872920737E-6</v>
      </c>
      <c r="F65" s="5" cm="1">
        <f t="array" ref="F65">EWMA($D46:$D65,F$6)</f>
        <v>4.2556229334911322E-6</v>
      </c>
      <c r="G65" s="6">
        <f>SQRT(E65)</f>
        <v>2.0256987651899464E-3</v>
      </c>
      <c r="H65" s="6">
        <f>SQRT(F65)</f>
        <v>2.0629161237168932E-3</v>
      </c>
      <c r="I65" s="8">
        <f t="shared" si="1"/>
        <v>1.8605561084054502E-3</v>
      </c>
      <c r="K65" s="2"/>
      <c r="O65" s="2"/>
    </row>
    <row r="66" spans="2:19" x14ac:dyDescent="0.25">
      <c r="B66" s="5">
        <v>57</v>
      </c>
      <c r="C66" s="5">
        <v>79.3</v>
      </c>
      <c r="D66" s="4">
        <f t="shared" si="0"/>
        <v>-1.0083187141169845E-3</v>
      </c>
      <c r="E66" s="5" cm="1">
        <f t="array" ref="E66">EWMA($D47:$D66,E$6)</f>
        <v>3.7848838345677649E-6</v>
      </c>
      <c r="F66" s="5" cm="1">
        <f t="array" ref="F66">EWMA($D47:$D66,F$6)</f>
        <v>3.7650527776045273E-6</v>
      </c>
      <c r="G66" s="6">
        <f>SQRT(E66)</f>
        <v>1.9454777908184315E-3</v>
      </c>
      <c r="H66" s="6">
        <f>SQRT(F66)</f>
        <v>1.9403743910917108E-3</v>
      </c>
      <c r="I66" s="8">
        <f t="shared" si="1"/>
        <v>1.9228264681599332E-3</v>
      </c>
      <c r="K66" s="2"/>
      <c r="O66" s="2"/>
      <c r="R66" s="1"/>
    </row>
    <row r="67" spans="2:19" x14ac:dyDescent="0.25">
      <c r="B67" s="5">
        <v>58</v>
      </c>
      <c r="C67" s="5">
        <v>78.92</v>
      </c>
      <c r="D67" s="4">
        <f t="shared" si="0"/>
        <v>-4.8034474863876608E-3</v>
      </c>
      <c r="E67" s="5" cm="1">
        <f t="array" ref="E67">EWMA($D48:$D67,E$6)</f>
        <v>5.7137068665280566E-6</v>
      </c>
      <c r="F67" s="5" cm="1">
        <f t="array" ref="F67">EWMA($D48:$D67,F$6)</f>
        <v>6.661260601170671E-6</v>
      </c>
      <c r="G67" s="6">
        <f>SQRT(E67)</f>
        <v>2.390336140907395E-3</v>
      </c>
      <c r="H67" s="6">
        <f>SQRT(F67)</f>
        <v>2.5809418050724568E-3</v>
      </c>
      <c r="I67" s="8">
        <f t="shared" si="1"/>
        <v>2.3221252365789964E-3</v>
      </c>
      <c r="K67" s="2"/>
      <c r="O67" s="2"/>
      <c r="R67" s="1"/>
    </row>
    <row r="68" spans="2:19" x14ac:dyDescent="0.25">
      <c r="B68" s="5">
        <v>59</v>
      </c>
      <c r="C68" s="5">
        <v>78.930000000000007</v>
      </c>
      <c r="D68" s="4">
        <f t="shared" si="0"/>
        <v>1.2670256589650169E-4</v>
      </c>
      <c r="E68" s="5" cm="1">
        <f t="array" ref="E68">EWMA($D49:$D68,E$6)</f>
        <v>5.1366823872189826E-6</v>
      </c>
      <c r="F68" s="5" cm="1">
        <f t="array" ref="F68">EWMA($D49:$D68,F$6)</f>
        <v>5.6610083355723706E-6</v>
      </c>
      <c r="G68" s="6">
        <f>SQRT(E68)</f>
        <v>2.2664250235158857E-3</v>
      </c>
      <c r="H68" s="6">
        <f>SQRT(F68)</f>
        <v>2.3792873587636216E-3</v>
      </c>
      <c r="I68" s="8">
        <f t="shared" si="1"/>
        <v>2.3274578654555581E-3</v>
      </c>
      <c r="N68" s="1"/>
      <c r="S68" s="1"/>
    </row>
    <row r="69" spans="2:19" x14ac:dyDescent="0.25">
      <c r="B69" s="5">
        <v>60</v>
      </c>
      <c r="C69" s="5">
        <v>78.790000000000006</v>
      </c>
      <c r="D69" s="4">
        <f t="shared" si="0"/>
        <v>-1.7752984627143716E-3</v>
      </c>
      <c r="E69" s="5" cm="1">
        <f t="array" ref="E69">EWMA($D50:$D69,E$6)</f>
        <v>4.9381824791250306E-6</v>
      </c>
      <c r="F69" s="5" cm="1">
        <f t="array" ref="F69">EWMA($D50:$D69,F$6)</f>
        <v>5.2846100156156428E-6</v>
      </c>
      <c r="G69" s="6">
        <f>SQRT(E69)</f>
        <v>2.2222021688237618E-3</v>
      </c>
      <c r="H69" s="6">
        <f>SQRT(F69)</f>
        <v>2.2988279656415448E-3</v>
      </c>
      <c r="I69" s="8">
        <f t="shared" si="1"/>
        <v>2.3924470065095705E-3</v>
      </c>
      <c r="N69" s="1"/>
    </row>
    <row r="70" spans="2:19" x14ac:dyDescent="0.25">
      <c r="B70" s="5">
        <v>61</v>
      </c>
      <c r="C70" s="5">
        <v>78.97</v>
      </c>
      <c r="D70" s="4">
        <f t="shared" si="0"/>
        <v>2.2819482518927309E-3</v>
      </c>
      <c r="E70" s="5" cm="1">
        <f t="array" ref="E70">EWMA($D51:$D70,E$6)</f>
        <v>4.8925363830831792E-6</v>
      </c>
      <c r="F70" s="5" cm="1">
        <f t="array" ref="F70">EWMA($D51:$D70,F$6)</f>
        <v>5.2383141329881422E-6</v>
      </c>
      <c r="G70" s="6">
        <f>SQRT(E70)</f>
        <v>2.2119078604415643E-3</v>
      </c>
      <c r="H70" s="6">
        <f>SQRT(F70)</f>
        <v>2.2887363616170696E-3</v>
      </c>
      <c r="I70" s="8">
        <f t="shared" si="1"/>
        <v>2.3865708358523953E-3</v>
      </c>
    </row>
    <row r="71" spans="2:19" x14ac:dyDescent="0.25">
      <c r="B71" s="5">
        <v>62</v>
      </c>
      <c r="C71" s="5">
        <v>79.19</v>
      </c>
      <c r="D71" s="4">
        <f t="shared" si="0"/>
        <v>2.7819947128313875E-3</v>
      </c>
      <c r="E71" s="5" cm="1">
        <f t="array" ref="E71">EWMA($D52:$D71,E$6)</f>
        <v>5.051517508486425E-6</v>
      </c>
      <c r="F71" s="5" cm="1">
        <f t="array" ref="F71">EWMA($D52:$D71,F$6)</f>
        <v>5.5533730780737978E-6</v>
      </c>
      <c r="G71" s="6">
        <f>SQRT(E71)</f>
        <v>2.2475581212699318E-3</v>
      </c>
      <c r="H71" s="6">
        <f>SQRT(F71)</f>
        <v>2.3565595850887789E-3</v>
      </c>
      <c r="I71" s="8">
        <f t="shared" si="1"/>
        <v>2.2408432192547044E-3</v>
      </c>
    </row>
    <row r="72" spans="2:19" x14ac:dyDescent="0.25">
      <c r="B72" s="5">
        <v>63</v>
      </c>
      <c r="C72" s="5">
        <v>79.19</v>
      </c>
      <c r="D72" s="4">
        <f t="shared" si="0"/>
        <v>0</v>
      </c>
      <c r="E72" s="5" cm="1">
        <f t="array" ref="E72">EWMA($D53:$D72,E$6)</f>
        <v>4.4811364354468974E-6</v>
      </c>
      <c r="F72" s="5" cm="1">
        <f t="array" ref="F72">EWMA($D53:$D72,F$6)</f>
        <v>4.6891737948140388E-6</v>
      </c>
      <c r="G72" s="6">
        <f>SQRT(E72)</f>
        <v>2.1168694894695083E-3</v>
      </c>
      <c r="H72" s="6">
        <f>SQRT(F72)</f>
        <v>2.1654500213152089E-3</v>
      </c>
      <c r="I72" s="8">
        <f t="shared" si="1"/>
        <v>2.2291257841240628E-3</v>
      </c>
    </row>
    <row r="73" spans="2:19" x14ac:dyDescent="0.25">
      <c r="B73" s="5">
        <v>64</v>
      </c>
      <c r="C73" s="5">
        <v>79.14</v>
      </c>
      <c r="D73" s="4">
        <f t="shared" si="0"/>
        <v>-6.3159226504289328E-4</v>
      </c>
      <c r="E73" s="5" cm="1">
        <f t="array" ref="E73">EWMA($D54:$D73,E$6)</f>
        <v>4.0149919558474245E-6</v>
      </c>
      <c r="F73" s="5" cm="1">
        <f t="array" ref="F73">EWMA($D54:$D73,F$6)</f>
        <v>4.017935524958105E-6</v>
      </c>
      <c r="G73" s="6">
        <f>SQRT(E73)</f>
        <v>2.003744483672363E-3</v>
      </c>
      <c r="H73" s="6">
        <f>SQRT(F73)</f>
        <v>2.0044788661789641E-3</v>
      </c>
      <c r="I73" s="8">
        <f t="shared" si="1"/>
        <v>2.2317499628346513E-3</v>
      </c>
    </row>
    <row r="74" spans="2:19" x14ac:dyDescent="0.25">
      <c r="B74" s="5">
        <v>65</v>
      </c>
      <c r="C74" s="5">
        <v>78.98</v>
      </c>
      <c r="D74" s="4">
        <f t="shared" si="0"/>
        <v>-2.0237800987747976E-3</v>
      </c>
      <c r="E74" s="5" cm="1">
        <f t="array" ref="E74">EWMA($D55:$D74,E$6)</f>
        <v>3.8984710812595136E-6</v>
      </c>
      <c r="F74" s="5" cm="1">
        <f t="array" ref="F74">EWMA($D55:$D74,F$6)</f>
        <v>3.9700174984114156E-6</v>
      </c>
      <c r="G74" s="6">
        <f>SQRT(E74)</f>
        <v>1.9744546288176677E-3</v>
      </c>
      <c r="H74" s="6">
        <f>SQRT(F74)</f>
        <v>1.9924902756127609E-3</v>
      </c>
      <c r="I74" s="8">
        <f t="shared" si="1"/>
        <v>2.234873139694245E-3</v>
      </c>
    </row>
    <row r="75" spans="2:19" x14ac:dyDescent="0.25">
      <c r="B75" s="5">
        <v>66</v>
      </c>
      <c r="C75" s="5">
        <v>79.239999999999995</v>
      </c>
      <c r="D75" s="4">
        <f t="shared" ref="D75:D102" si="2">LN(C75/C74)</f>
        <v>3.2865659718467927E-3</v>
      </c>
      <c r="E75" s="5" cm="1">
        <f t="array" ref="E75">EWMA($D56:$D75,E$6)</f>
        <v>4.5439806157232532E-6</v>
      </c>
      <c r="F75" s="5" cm="1">
        <f t="array" ref="F75">EWMA($D56:$D75,F$6)</f>
        <v>4.9733205837731997E-6</v>
      </c>
      <c r="G75" s="6">
        <f>SQRT(E75)</f>
        <v>2.1316614683676328E-3</v>
      </c>
      <c r="H75" s="6">
        <f>SQRT(F75)</f>
        <v>2.230094299300637E-3</v>
      </c>
      <c r="I75" s="8">
        <f t="shared" si="1"/>
        <v>2.2434282649023704E-3</v>
      </c>
    </row>
    <row r="76" spans="2:19" x14ac:dyDescent="0.25">
      <c r="B76" s="5">
        <v>67</v>
      </c>
      <c r="C76" s="5">
        <v>79.7</v>
      </c>
      <c r="D76" s="4">
        <f t="shared" si="2"/>
        <v>5.7883639658193736E-3</v>
      </c>
      <c r="E76" s="5" cm="1">
        <f t="array" ref="E76">EWMA($D57:$D76,E$6)</f>
        <v>7.4398995179580929E-6</v>
      </c>
      <c r="F76" s="5" cm="1">
        <f t="array" ref="F76">EWMA($D57:$D76,F$6)</f>
        <v>9.2529999511925531E-6</v>
      </c>
      <c r="G76" s="6">
        <f>SQRT(E76)</f>
        <v>2.7276179200830335E-3</v>
      </c>
      <c r="H76" s="6">
        <f>SQRT(F76)</f>
        <v>3.0418744141059726E-3</v>
      </c>
      <c r="I76" s="8">
        <f t="shared" si="1"/>
        <v>2.498041415428566E-3</v>
      </c>
    </row>
    <row r="77" spans="2:19" x14ac:dyDescent="0.25">
      <c r="B77" s="5">
        <v>68</v>
      </c>
      <c r="C77" s="5">
        <v>79.94</v>
      </c>
      <c r="D77" s="4">
        <f t="shared" si="2"/>
        <v>3.006767487008088E-3</v>
      </c>
      <c r="E77" s="5" cm="1">
        <f t="array" ref="E77">EWMA($D58:$D77,E$6)</f>
        <v>7.4756708282053275E-6</v>
      </c>
      <c r="F77" s="5" cm="1">
        <f t="array" ref="F77">EWMA($D58:$D77,F$6)</f>
        <v>9.1617043030678413E-6</v>
      </c>
      <c r="G77" s="6">
        <f>SQRT(E77)</f>
        <v>2.7341673006978425E-3</v>
      </c>
      <c r="H77" s="6">
        <f>SQRT(F77)</f>
        <v>3.0268307357808832E-3</v>
      </c>
      <c r="I77" s="8">
        <f t="shared" si="1"/>
        <v>2.4897177685629414E-3</v>
      </c>
    </row>
    <row r="78" spans="2:19" x14ac:dyDescent="0.25">
      <c r="B78" s="5">
        <v>69</v>
      </c>
      <c r="C78" s="5">
        <v>80.02</v>
      </c>
      <c r="D78" s="4">
        <f t="shared" si="2"/>
        <v>1.0002501459114624E-3</v>
      </c>
      <c r="E78" s="5" cm="1">
        <f t="array" ref="E78">EWMA($D59:$D78,E$6)</f>
        <v>6.8273609566404936E-6</v>
      </c>
      <c r="F78" s="5" cm="1">
        <f t="array" ref="F78">EWMA($D59:$D78,F$6)</f>
        <v>7.9371448589715676E-6</v>
      </c>
      <c r="G78" s="6">
        <f>SQRT(E78)</f>
        <v>2.6129219193539812E-3</v>
      </c>
      <c r="H78" s="6">
        <f>SQRT(F78)</f>
        <v>2.8172938893504824E-3</v>
      </c>
      <c r="I78" s="8">
        <f t="shared" si="1"/>
        <v>2.4830816812121026E-3</v>
      </c>
    </row>
    <row r="79" spans="2:19" x14ac:dyDescent="0.25">
      <c r="B79" s="5">
        <v>70</v>
      </c>
      <c r="C79" s="5">
        <v>79.739999999999995</v>
      </c>
      <c r="D79" s="4">
        <f t="shared" si="2"/>
        <v>-3.5052614758800124E-3</v>
      </c>
      <c r="E79" s="5" cm="1">
        <f t="array" ref="E79">EWMA($D60:$D79,E$6)</f>
        <v>7.2398047668009724E-6</v>
      </c>
      <c r="F79" s="5" cm="1">
        <f t="array" ref="F79">EWMA($D60:$D79,F$6)</f>
        <v>8.5257575331842972E-6</v>
      </c>
      <c r="G79" s="6">
        <f>SQRT(E79)</f>
        <v>2.6906885302466674E-3</v>
      </c>
      <c r="H79" s="6">
        <f>SQRT(F79)</f>
        <v>2.919889986486528E-3</v>
      </c>
      <c r="I79" s="8">
        <f t="shared" si="1"/>
        <v>2.622621846176407E-3</v>
      </c>
    </row>
    <row r="80" spans="2:19" x14ac:dyDescent="0.25">
      <c r="B80" s="5">
        <v>71</v>
      </c>
      <c r="C80" s="5">
        <v>79.75</v>
      </c>
      <c r="D80" s="4">
        <f t="shared" si="2"/>
        <v>1.253997117450253E-4</v>
      </c>
      <c r="E80" s="5" cm="1">
        <f t="array" ref="E80">EWMA($D61:$D80,E$6)</f>
        <v>6.2634543934736442E-6</v>
      </c>
      <c r="F80" s="5" cm="1">
        <f t="array" ref="F80">EWMA($D61:$D80,F$6)</f>
        <v>7.1278149040288064E-6</v>
      </c>
      <c r="G80" s="6">
        <f>SQRT(E80)</f>
        <v>2.5026894320857402E-3</v>
      </c>
      <c r="H80" s="6">
        <f>SQRT(F80)</f>
        <v>2.6697967907743105E-3</v>
      </c>
      <c r="I80" s="8">
        <f t="shared" si="1"/>
        <v>2.4632267701618794E-3</v>
      </c>
    </row>
    <row r="81" spans="2:9" x14ac:dyDescent="0.25">
      <c r="B81" s="5">
        <v>72</v>
      </c>
      <c r="C81" s="5">
        <v>79.7</v>
      </c>
      <c r="D81" s="4">
        <f t="shared" si="2"/>
        <v>-6.2715586878457814E-4</v>
      </c>
      <c r="E81" s="5" cm="1">
        <f t="array" ref="E81">EWMA($D62:$D81,E$6)</f>
        <v>5.6435318951664204E-6</v>
      </c>
      <c r="F81" s="5" cm="1">
        <f t="array" ref="F81">EWMA($D62:$D81,F$6)</f>
        <v>6.1019040229481902E-6</v>
      </c>
      <c r="G81" s="6">
        <f>SQRT(E81)</f>
        <v>2.3756118991044013E-3</v>
      </c>
      <c r="H81" s="6">
        <f>SQRT(F81)</f>
        <v>2.470203235150539E-3</v>
      </c>
      <c r="I81" s="8">
        <f t="shared" si="1"/>
        <v>2.4602261614539785E-3</v>
      </c>
    </row>
    <row r="82" spans="2:9" x14ac:dyDescent="0.25">
      <c r="B82" s="5">
        <v>73</v>
      </c>
      <c r="C82" s="5">
        <v>79.850000000000009</v>
      </c>
      <c r="D82" s="4">
        <f t="shared" si="2"/>
        <v>1.880288864852128E-3</v>
      </c>
      <c r="E82" s="5" cm="1">
        <f t="array" ref="E82">EWMA($D63:$D82,E$6)</f>
        <v>5.425733821978751E-6</v>
      </c>
      <c r="F82" s="5" cm="1">
        <f t="array" ref="F82">EWMA($D63:$D82,F$6)</f>
        <v>5.713597030165829E-6</v>
      </c>
      <c r="G82" s="6">
        <f>SQRT(E82)</f>
        <v>2.3293204635641595E-3</v>
      </c>
      <c r="H82" s="6">
        <f>SQRT(F82)</f>
        <v>2.3903131657098467E-3</v>
      </c>
      <c r="I82" s="8">
        <f t="shared" si="1"/>
        <v>2.4817518648889551E-3</v>
      </c>
    </row>
    <row r="83" spans="2:9" x14ac:dyDescent="0.25">
      <c r="B83" s="5">
        <v>74</v>
      </c>
      <c r="C83" s="5">
        <v>79.77</v>
      </c>
      <c r="D83" s="4">
        <f t="shared" si="2"/>
        <v>-1.0023807379834517E-3</v>
      </c>
      <c r="E83" s="5" cm="1">
        <f t="array" ref="E83">EWMA($D64:$D83,E$6)</f>
        <v>4.9836371164846405E-6</v>
      </c>
      <c r="F83" s="5" cm="1">
        <f t="array" ref="F83">EWMA($D64:$D83,F$6)</f>
        <v>5.0072725187172429E-6</v>
      </c>
      <c r="G83" s="6">
        <f>SQRT(E83)</f>
        <v>2.2324061271383039E-3</v>
      </c>
      <c r="H83" s="6">
        <f>SQRT(F83)</f>
        <v>2.2376935712284745E-3</v>
      </c>
      <c r="I83" s="8">
        <f t="shared" si="1"/>
        <v>2.5012896995172808E-3</v>
      </c>
    </row>
    <row r="84" spans="2:9" x14ac:dyDescent="0.25">
      <c r="B84" s="5">
        <v>75</v>
      </c>
      <c r="C84" s="5">
        <v>79.989999999999995</v>
      </c>
      <c r="D84" s="4">
        <f t="shared" si="2"/>
        <v>2.7541329376924591E-3</v>
      </c>
      <c r="E84" s="5" cm="1">
        <f t="array" ref="E84">EWMA($D65:$D84,E$6)</f>
        <v>5.1810478950420347E-6</v>
      </c>
      <c r="F84" s="5" cm="1">
        <f t="array" ref="F84">EWMA($D65:$D84,F$6)</f>
        <v>5.3639609505218289E-6</v>
      </c>
      <c r="G84" s="6">
        <f>SQRT(E84)</f>
        <v>2.2761915330310046E-3</v>
      </c>
      <c r="H84" s="6">
        <f>SQRT(F84)</f>
        <v>2.3160226576011359E-3</v>
      </c>
      <c r="I84" s="8">
        <f t="shared" si="1"/>
        <v>2.5225550808248183E-3</v>
      </c>
    </row>
    <row r="85" spans="2:9" x14ac:dyDescent="0.25">
      <c r="B85" s="5">
        <v>76</v>
      </c>
      <c r="C85" s="5">
        <v>80.09</v>
      </c>
      <c r="D85" s="4">
        <f t="shared" si="2"/>
        <v>1.2493754748604253E-3</v>
      </c>
      <c r="E85" s="5" cm="1">
        <f t="array" ref="E85">EWMA($D66:$D85,E$6)</f>
        <v>4.8120856435684978E-6</v>
      </c>
      <c r="F85" s="5" cm="1">
        <f t="array" ref="F85">EWMA($D66:$D85,F$6)</f>
        <v>4.7901835763947131E-6</v>
      </c>
      <c r="G85" s="6">
        <f>SQRT(E85)</f>
        <v>2.1936466542195206E-3</v>
      </c>
      <c r="H85" s="6">
        <f>SQRT(F85)</f>
        <v>2.1886488015199499E-3</v>
      </c>
      <c r="I85" s="8">
        <f t="shared" si="1"/>
        <v>2.5284127254428961E-3</v>
      </c>
    </row>
    <row r="86" spans="2:9" x14ac:dyDescent="0.25">
      <c r="B86" s="5">
        <v>77</v>
      </c>
      <c r="C86" s="5">
        <v>80.2</v>
      </c>
      <c r="D86" s="4">
        <f t="shared" si="2"/>
        <v>1.3725125368779932E-3</v>
      </c>
      <c r="E86" s="5" cm="1">
        <f t="array" ref="E86">EWMA($D67:$D86,E$6)</f>
        <v>4.5068953687110724E-6</v>
      </c>
      <c r="F86" s="5" cm="1">
        <f t="array" ref="F86">EWMA($D67:$D86,F$6)</f>
        <v>4.348313701205142E-6</v>
      </c>
      <c r="G86" s="6">
        <f>SQRT(E86)</f>
        <v>2.1229449754317873E-3</v>
      </c>
      <c r="H86" s="6">
        <f>SQRT(F86)</f>
        <v>2.0852610630818246E-3</v>
      </c>
      <c r="I86" s="8">
        <f t="shared" si="1"/>
        <v>2.5123713811372708E-3</v>
      </c>
    </row>
    <row r="87" spans="2:9" x14ac:dyDescent="0.25">
      <c r="B87" s="5">
        <v>78</v>
      </c>
      <c r="C87" s="5">
        <v>80.55</v>
      </c>
      <c r="D87" s="4">
        <f t="shared" si="2"/>
        <v>4.3545947505144967E-3</v>
      </c>
      <c r="E87" s="5" cm="1">
        <f t="array" ref="E87">EWMA($D68:$D87,E$6)</f>
        <v>5.6719406395649985E-6</v>
      </c>
      <c r="F87" s="5" cm="1">
        <f t="array" ref="F87">EWMA($D68:$D87,F$6)</f>
        <v>6.4062952058602241E-6</v>
      </c>
      <c r="G87" s="6">
        <f>SQRT(E87)</f>
        <v>2.3815836411020712E-3</v>
      </c>
      <c r="H87" s="6">
        <f>SQRT(F87)</f>
        <v>2.5310660216320362E-3</v>
      </c>
      <c r="I87" s="8">
        <f t="shared" si="1"/>
        <v>2.3088945362108146E-3</v>
      </c>
    </row>
    <row r="88" spans="2:9" x14ac:dyDescent="0.25">
      <c r="B88" s="5">
        <v>79</v>
      </c>
      <c r="C88" s="5">
        <v>80.5</v>
      </c>
      <c r="D88" s="4">
        <f t="shared" si="2"/>
        <v>-6.2092519846564283E-4</v>
      </c>
      <c r="E88" s="5" cm="1">
        <f t="array" ref="E88">EWMA($D69:$D88,E$6)</f>
        <v>5.1431060333340106E-6</v>
      </c>
      <c r="F88" s="5" cm="1">
        <f t="array" ref="F88">EWMA($D69:$D88,F$6)</f>
        <v>5.5030899811514544E-6</v>
      </c>
      <c r="G88" s="6">
        <f>SQRT(E88)</f>
        <v>2.2678417125835768E-3</v>
      </c>
      <c r="H88" s="6">
        <f>SQRT(F88)</f>
        <v>2.345866573603762E-3</v>
      </c>
      <c r="I88" s="8">
        <f t="shared" si="1"/>
        <v>2.3301100073184582E-3</v>
      </c>
    </row>
    <row r="89" spans="2:9" x14ac:dyDescent="0.25">
      <c r="B89" s="5">
        <v>80</v>
      </c>
      <c r="C89" s="5">
        <v>80.540000000000006</v>
      </c>
      <c r="D89" s="4">
        <f t="shared" si="2"/>
        <v>4.9677099879047578E-4</v>
      </c>
      <c r="E89" s="5" cm="1">
        <f t="array" ref="E89">EWMA($D70:$D89,E$6)</f>
        <v>4.6151563655727479E-6</v>
      </c>
      <c r="F89" s="5" cm="1">
        <f t="array" ref="F89">EWMA($D70:$D89,F$6)</f>
        <v>4.6963201771332841E-6</v>
      </c>
      <c r="G89" s="6">
        <f>SQRT(E89)</f>
        <v>2.1482914992087894E-3</v>
      </c>
      <c r="H89" s="6">
        <f>SQRT(F89)</f>
        <v>2.1670994848260391E-3</v>
      </c>
      <c r="I89" s="8">
        <f t="shared" si="1"/>
        <v>2.2421887727413943E-3</v>
      </c>
    </row>
    <row r="90" spans="2:9" x14ac:dyDescent="0.25">
      <c r="B90" s="5">
        <v>81</v>
      </c>
      <c r="C90" s="5">
        <v>80.489999999999995</v>
      </c>
      <c r="D90" s="4">
        <f t="shared" si="2"/>
        <v>-6.2100231766577091E-4</v>
      </c>
      <c r="E90" s="5" cm="1">
        <f t="array" ref="E90">EWMA($D71:$D90,E$6)</f>
        <v>4.1288965026975433E-6</v>
      </c>
      <c r="F90" s="5" cm="1">
        <f t="array" ref="F90">EWMA($D71:$D90,F$6)</f>
        <v>4.0194439777097024E-6</v>
      </c>
      <c r="G90" s="6">
        <f>SQRT(E90)</f>
        <v>2.0319686273900842E-3</v>
      </c>
      <c r="H90" s="6">
        <f>SQRT(F90)</f>
        <v>2.0048551014249637E-3</v>
      </c>
      <c r="I90" s="8">
        <f t="shared" si="1"/>
        <v>2.2554607818903428E-3</v>
      </c>
    </row>
    <row r="91" spans="2:9" x14ac:dyDescent="0.25">
      <c r="B91" s="5">
        <v>82</v>
      </c>
      <c r="C91" s="5">
        <v>80.38</v>
      </c>
      <c r="D91" s="4">
        <f t="shared" si="2"/>
        <v>-1.3675640845874258E-3</v>
      </c>
      <c r="E91" s="5" cm="1">
        <f t="array" ref="E91">EWMA($D72:$D91,E$6)</f>
        <v>3.8089357962678427E-6</v>
      </c>
      <c r="F91" s="5" cm="1">
        <f t="array" ref="F91">EWMA($D72:$D91,F$6)</f>
        <v>3.6520652277882704E-6</v>
      </c>
      <c r="G91" s="6">
        <f>SQRT(E91)</f>
        <v>1.9516495065118231E-3</v>
      </c>
      <c r="H91" s="6">
        <f>SQRT(F91)</f>
        <v>1.9110377358357606E-3</v>
      </c>
      <c r="I91" s="8">
        <f t="shared" si="1"/>
        <v>2.2691971563118534E-3</v>
      </c>
    </row>
    <row r="92" spans="2:9" x14ac:dyDescent="0.25">
      <c r="B92" s="5">
        <v>83</v>
      </c>
      <c r="C92" s="5">
        <v>79.75</v>
      </c>
      <c r="D92" s="4">
        <f t="shared" si="2"/>
        <v>-7.8686473561010908E-3</v>
      </c>
      <c r="E92" s="5" cm="1">
        <f t="array" ref="E92">EWMA($D73:$D92,E$6)</f>
        <v>9.6196046296403992E-6</v>
      </c>
      <c r="F92" s="5" cm="1">
        <f t="array" ref="F92">EWMA($D73:$D92,F$6)</f>
        <v>1.2391596094507573E-5</v>
      </c>
      <c r="G92" s="6">
        <f>SQRT(E92)</f>
        <v>3.1015487469392448E-3</v>
      </c>
      <c r="H92" s="6">
        <f>SQRT(F92)</f>
        <v>3.5201698956879302E-3</v>
      </c>
      <c r="I92" s="8">
        <f t="shared" si="1"/>
        <v>2.9770354473026245E-3</v>
      </c>
    </row>
    <row r="93" spans="2:9" x14ac:dyDescent="0.25">
      <c r="B93" s="5">
        <v>84</v>
      </c>
      <c r="C93" s="5">
        <v>79.350000000000009</v>
      </c>
      <c r="D93" s="4">
        <f t="shared" si="2"/>
        <v>-5.0282946925357206E-3</v>
      </c>
      <c r="E93" s="5" cm="1">
        <f t="array" ref="E93">EWMA($D74:$D93,E$6)</f>
        <v>1.1181169589397078E-5</v>
      </c>
      <c r="F93" s="5" cm="1">
        <f t="array" ref="F93">EWMA($D74:$D93,F$6)</f>
        <v>1.4323099013974216E-5</v>
      </c>
      <c r="G93" s="6">
        <f>SQRT(E93)</f>
        <v>3.3438255919525884E-3</v>
      </c>
      <c r="H93" s="6">
        <f>SQRT(F93)</f>
        <v>3.7845870334785826E-3</v>
      </c>
      <c r="I93" s="8">
        <f t="shared" si="1"/>
        <v>3.2069708642536348E-3</v>
      </c>
    </row>
    <row r="94" spans="2:9" x14ac:dyDescent="0.25">
      <c r="B94" s="5">
        <v>85</v>
      </c>
      <c r="C94" s="5">
        <v>79.900000000000006</v>
      </c>
      <c r="D94" s="4">
        <f t="shared" si="2"/>
        <v>6.9074057998108956E-3</v>
      </c>
      <c r="E94" s="5" cm="1">
        <f t="array" ref="E94">EWMA($D75:$D94,E$6)</f>
        <v>1.4784484649560392E-5</v>
      </c>
      <c r="F94" s="5" cm="1">
        <f t="array" ref="F94">EWMA($D75:$D94,F$6)</f>
        <v>1.9307659338579919E-5</v>
      </c>
      <c r="G94" s="6">
        <f>SQRT(E94)</f>
        <v>3.8450597719099752E-3</v>
      </c>
      <c r="H94" s="6">
        <f>SQRT(F94)</f>
        <v>4.394048172082313E-3</v>
      </c>
      <c r="I94" s="8">
        <f t="shared" si="1"/>
        <v>3.4993989797920274E-3</v>
      </c>
    </row>
    <row r="95" spans="2:9" x14ac:dyDescent="0.25">
      <c r="B95" s="5">
        <v>86</v>
      </c>
      <c r="C95" s="5">
        <v>79.7</v>
      </c>
      <c r="D95" s="4">
        <f t="shared" si="2"/>
        <v>-2.5062669760596117E-3</v>
      </c>
      <c r="E95" s="5" cm="1">
        <f t="array" ref="E95">EWMA($D76:$D95,E$6)</f>
        <v>1.3802852687122558E-5</v>
      </c>
      <c r="F95" s="5" cm="1">
        <f t="array" ref="F95">EWMA($D76:$D95,F$6)</f>
        <v>1.7290918096768415E-5</v>
      </c>
      <c r="G95" s="6">
        <f>SQRT(E95)</f>
        <v>3.7152190631404977E-3</v>
      </c>
      <c r="H95" s="6">
        <f>SQRT(F95)</f>
        <v>4.1582349737320536E-3</v>
      </c>
      <c r="I95" s="8">
        <f t="shared" ref="I95:I102" si="3">STDEV(D76:D95)</f>
        <v>3.5032381837627308E-3</v>
      </c>
    </row>
    <row r="96" spans="2:9" x14ac:dyDescent="0.25">
      <c r="B96" s="5">
        <v>87</v>
      </c>
      <c r="C96" s="5">
        <v>79.460000000000008</v>
      </c>
      <c r="D96" s="4">
        <f t="shared" si="2"/>
        <v>-3.015835409716451E-3</v>
      </c>
      <c r="E96" s="5" cm="1">
        <f t="array" ref="E96">EWMA($D77:$D96,E$6)</f>
        <v>1.2924749054843421E-5</v>
      </c>
      <c r="F96" s="5" cm="1">
        <f t="array" ref="F96">EWMA($D77:$D96,F$6)</f>
        <v>1.5866773786385457E-5</v>
      </c>
      <c r="G96" s="6">
        <f>SQRT(E96)</f>
        <v>3.5951007016276223E-3</v>
      </c>
      <c r="H96" s="6">
        <f>SQRT(F96)</f>
        <v>3.9833119117620528E-3</v>
      </c>
      <c r="I96" s="8">
        <f t="shared" si="3"/>
        <v>3.324482375206458E-3</v>
      </c>
    </row>
    <row r="97" spans="2:9" x14ac:dyDescent="0.25">
      <c r="B97" s="5">
        <v>88</v>
      </c>
      <c r="C97" s="5">
        <v>80.17</v>
      </c>
      <c r="D97" s="4">
        <f t="shared" si="2"/>
        <v>8.8956296684071946E-3</v>
      </c>
      <c r="E97" s="5" cm="1">
        <f t="array" ref="E97">EWMA($D78:$D97,E$6)</f>
        <v>1.9435584656168903E-5</v>
      </c>
      <c r="F97" s="5" cm="1">
        <f t="array" ref="F97">EWMA($D78:$D97,F$6)</f>
        <v>2.5304028757971997E-5</v>
      </c>
      <c r="G97" s="6">
        <f>SQRT(E97)</f>
        <v>4.4085807984167542E-3</v>
      </c>
      <c r="H97" s="6">
        <f>SQRT(F97)</f>
        <v>5.0303110001243458E-3</v>
      </c>
      <c r="I97" s="8">
        <f t="shared" si="3"/>
        <v>3.8397169830875696E-3</v>
      </c>
    </row>
    <row r="98" spans="2:9" x14ac:dyDescent="0.25">
      <c r="B98" s="5">
        <v>89</v>
      </c>
      <c r="C98" s="5">
        <v>80.47</v>
      </c>
      <c r="D98" s="4">
        <f t="shared" si="2"/>
        <v>3.7350641031812437E-3</v>
      </c>
      <c r="E98" s="5" cm="1">
        <f t="array" ref="E98">EWMA($D79:$D98,E$6)</f>
        <v>1.8874933044144004E-5</v>
      </c>
      <c r="F98" s="5" cm="1">
        <f t="array" ref="F98">EWMA($D79:$D98,F$6)</f>
        <v>2.3595212981897262E-5</v>
      </c>
      <c r="G98" s="6">
        <f>SQRT(E98)</f>
        <v>4.3445290934857371E-3</v>
      </c>
      <c r="H98" s="6">
        <f>SQRT(F98)</f>
        <v>4.8574903995682031E-3</v>
      </c>
      <c r="I98" s="8">
        <f t="shared" si="3"/>
        <v>3.9196913644206572E-3</v>
      </c>
    </row>
    <row r="99" spans="2:9" x14ac:dyDescent="0.25">
      <c r="B99" s="5">
        <v>90</v>
      </c>
      <c r="C99" s="5">
        <v>80.88</v>
      </c>
      <c r="D99" s="4">
        <f t="shared" si="2"/>
        <v>5.0821305541744344E-3</v>
      </c>
      <c r="E99" s="5" cm="1">
        <f t="array" ref="E99">EWMA($D80:$D99,E$6)</f>
        <v>1.9420865548638866E-5</v>
      </c>
      <c r="F99" s="5" cm="1">
        <f t="array" ref="F99">EWMA($D80:$D99,F$6)</f>
        <v>2.3858704002385767E-5</v>
      </c>
      <c r="G99" s="6">
        <f>SQRT(E99)</f>
        <v>4.4069111119511891E-3</v>
      </c>
      <c r="H99" s="6">
        <f>SQRT(F99)</f>
        <v>4.884537235233832E-3</v>
      </c>
      <c r="I99" s="8">
        <f t="shared" si="3"/>
        <v>3.9533728613565175E-3</v>
      </c>
    </row>
    <row r="100" spans="2:9" x14ac:dyDescent="0.25">
      <c r="B100" s="5">
        <v>91</v>
      </c>
      <c r="C100" s="5">
        <v>81.06</v>
      </c>
      <c r="D100" s="4">
        <f t="shared" si="2"/>
        <v>2.2230464879466733E-3</v>
      </c>
      <c r="E100" s="5" cm="1">
        <f t="array" ref="E100">EWMA($D81:$D100,E$6)</f>
        <v>1.7972780782304909E-5</v>
      </c>
      <c r="F100" s="5" cm="1">
        <f t="array" ref="F100">EWMA($D81:$D100,F$6)</f>
        <v>2.1021097885931539E-5</v>
      </c>
      <c r="G100" s="6">
        <f>SQRT(E100)</f>
        <v>4.2394316579354016E-3</v>
      </c>
      <c r="H100" s="6">
        <f>SQRT(F100)</f>
        <v>4.5848770851497798E-3</v>
      </c>
      <c r="I100" s="8">
        <f t="shared" si="3"/>
        <v>3.9648623040658085E-3</v>
      </c>
    </row>
    <row r="101" spans="2:9" x14ac:dyDescent="0.25">
      <c r="B101" s="5">
        <v>92</v>
      </c>
      <c r="C101" s="5">
        <v>81.150000000000006</v>
      </c>
      <c r="D101" s="4">
        <f t="shared" si="2"/>
        <v>1.1096727604377971E-3</v>
      </c>
      <c r="E101" s="5" cm="1">
        <f t="array" ref="E101">EWMA($D82:$D101,E$6)</f>
        <v>1.6293857814986268E-5</v>
      </c>
      <c r="F101" s="5" cm="1">
        <f t="array" ref="F101">EWMA($D82:$D101,F$6)</f>
        <v>1.8050352963872029E-5</v>
      </c>
      <c r="G101" s="6">
        <f>SQRT(E101)</f>
        <v>4.0365651010464661E-3</v>
      </c>
      <c r="H101" s="6">
        <f>SQRT(F101)</f>
        <v>4.2485706965839738E-3</v>
      </c>
      <c r="I101" s="8">
        <f t="shared" si="3"/>
        <v>3.950615909463784E-3</v>
      </c>
    </row>
    <row r="102" spans="2:9" x14ac:dyDescent="0.25">
      <c r="B102" s="5">
        <v>93</v>
      </c>
      <c r="C102" s="5">
        <v>81</v>
      </c>
      <c r="D102" s="4">
        <f t="shared" si="2"/>
        <v>-1.8501392881614773E-3</v>
      </c>
      <c r="E102" s="5" cm="1">
        <f t="array" ref="E102">EWMA($D83:$D102,E$6)</f>
        <v>1.4963789895183766E-5</v>
      </c>
      <c r="F102" s="5" cm="1">
        <f t="array" ref="F102">EWMA($D83:$D102,F$6)</f>
        <v>1.5835697543487015E-5</v>
      </c>
      <c r="G102" s="6">
        <f>SQRT(E102)</f>
        <v>3.8683058171742014E-3</v>
      </c>
      <c r="H102" s="6">
        <f>SQRT(F102)</f>
        <v>3.9794091952810046E-3</v>
      </c>
      <c r="I102" s="8">
        <f t="shared" si="3"/>
        <v>3.9898392842638887E-3</v>
      </c>
    </row>
  </sheetData>
  <conditionalFormatting sqref="A1:XFD2">
    <cfRule type="expression" dxfId="1" priority="2">
      <formula>AND(ISBLANK(A1)=FALSE,_xlfn.ISFORMULA(A1)=FALSE,ISTEXT(A1)=FALSE)</formula>
    </cfRule>
  </conditionalFormatting>
  <conditionalFormatting sqref="A1:XFD1048576">
    <cfRule type="expression" dxfId="0" priority="1">
      <formula>AND(ISBLANK(A1)=FALSE,_xlfn.ISFORMULA(A1)=FALSE,ISTEXT(A1)=FALSE)</formula>
    </cfRule>
  </conditionalFormatting>
  <hyperlinks>
    <hyperlink ref="B1" r:id="rId1" xr:uid="{A2CFE48A-567A-46F6-9436-DDAE5563FAA9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Finam</dc:creator>
  <cp:lastModifiedBy>Finam</cp:lastModifiedBy>
  <dcterms:created xsi:type="dcterms:W3CDTF">2022-06-12T00:08:52Z</dcterms:created>
  <dcterms:modified xsi:type="dcterms:W3CDTF">2022-06-18T14:47:40Z</dcterms:modified>
</cp:coreProperties>
</file>