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inam\Downloads\"/>
    </mc:Choice>
  </mc:AlternateContent>
  <xr:revisionPtr revIDLastSave="0" documentId="13_ncr:1_{4ABA9B1D-6809-49CB-A883-4517A6B284DC}" xr6:coauthVersionLast="47" xr6:coauthVersionMax="47" xr10:uidLastSave="{00000000-0000-0000-0000-000000000000}"/>
  <bookViews>
    <workbookView xWindow="-25320" yWindow="360" windowWidth="24510" windowHeight="15990" xr2:uid="{453E1323-6431-4AB9-BEC2-1D6851EE4091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31" i="1" l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30" i="1"/>
  <c r="G13" i="1"/>
  <c r="G17" i="1"/>
  <c r="G21" i="1"/>
  <c r="G25" i="1"/>
  <c r="G29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" i="1"/>
  <c r="G15" i="1" s="1"/>
  <c r="E11" i="1" a="1"/>
  <c r="E13" i="1" a="1"/>
  <c r="E15" i="1" a="1"/>
  <c r="E17" i="1" a="1"/>
  <c r="E19" i="1" a="1"/>
  <c r="E21" i="1" a="1"/>
  <c r="E23" i="1" a="1"/>
  <c r="E25" i="1" a="1"/>
  <c r="E27" i="1" a="1"/>
  <c r="E29" i="1" a="1"/>
  <c r="E31" i="1" a="1"/>
  <c r="E33" i="1" a="1"/>
  <c r="E35" i="1" a="1"/>
  <c r="E37" i="1" a="1"/>
  <c r="E39" i="1" a="1"/>
  <c r="E41" i="1" a="1"/>
  <c r="E43" i="1" a="1"/>
  <c r="E45" i="1" a="1"/>
  <c r="E47" i="1" a="1"/>
  <c r="E49" i="1" a="1"/>
  <c r="E51" i="1" a="1"/>
  <c r="E53" i="1" a="1"/>
  <c r="E55" i="1" a="1"/>
  <c r="E57" i="1" a="1"/>
  <c r="E59" i="1" a="1"/>
  <c r="E61" i="1" a="1"/>
  <c r="E63" i="1" a="1"/>
  <c r="E65" i="1" a="1"/>
  <c r="E67" i="1" a="1"/>
  <c r="E69" i="1" a="1"/>
  <c r="E71" i="1" a="1"/>
  <c r="E73" i="1" a="1"/>
  <c r="E75" i="1" a="1"/>
  <c r="E77" i="1" a="1"/>
  <c r="E79" i="1" a="1"/>
  <c r="E81" i="1" a="1"/>
  <c r="E83" i="1" a="1"/>
  <c r="E85" i="1" a="1"/>
  <c r="E87" i="1" a="1"/>
  <c r="E89" i="1" a="1"/>
  <c r="E91" i="1" a="1"/>
  <c r="E93" i="1" a="1"/>
  <c r="E95" i="1" a="1"/>
  <c r="E97" i="1" a="1"/>
  <c r="E99" i="1" a="1"/>
  <c r="E101" i="1" a="1"/>
  <c r="E12" i="1" a="1"/>
  <c r="E14" i="1" a="1"/>
  <c r="E16" i="1" a="1"/>
  <c r="E18" i="1" a="1"/>
  <c r="E20" i="1" a="1"/>
  <c r="E22" i="1" a="1"/>
  <c r="E24" i="1" a="1"/>
  <c r="E26" i="1" a="1"/>
  <c r="E28" i="1" a="1"/>
  <c r="E30" i="1" a="1"/>
  <c r="E32" i="1" a="1"/>
  <c r="E34" i="1" a="1"/>
  <c r="E36" i="1" a="1"/>
  <c r="E38" i="1" a="1"/>
  <c r="E40" i="1" a="1"/>
  <c r="E42" i="1" a="1"/>
  <c r="E44" i="1" a="1"/>
  <c r="E46" i="1" a="1"/>
  <c r="E48" i="1" a="1"/>
  <c r="E50" i="1" a="1"/>
  <c r="E52" i="1" a="1"/>
  <c r="E54" i="1" a="1"/>
  <c r="E56" i="1" a="1"/>
  <c r="E58" i="1" a="1"/>
  <c r="E60" i="1" a="1"/>
  <c r="E62" i="1" a="1"/>
  <c r="E64" i="1" a="1"/>
  <c r="E66" i="1" a="1"/>
  <c r="E68" i="1" a="1"/>
  <c r="E70" i="1" a="1"/>
  <c r="E72" i="1" a="1"/>
  <c r="E74" i="1" a="1"/>
  <c r="E76" i="1" a="1"/>
  <c r="E78" i="1" a="1"/>
  <c r="E80" i="1" a="1"/>
  <c r="E82" i="1" a="1"/>
  <c r="E84" i="1" a="1"/>
  <c r="E86" i="1" a="1"/>
  <c r="E88" i="1" a="1"/>
  <c r="E90" i="1" a="1"/>
  <c r="E92" i="1" a="1"/>
  <c r="E94" i="1" a="1"/>
  <c r="E96" i="1" a="1"/>
  <c r="E98" i="1" a="1"/>
  <c r="E100" i="1" a="1"/>
  <c r="E102" i="1" a="1"/>
  <c r="E10" i="1" a="1"/>
  <c r="G11" i="1" l="1"/>
  <c r="G26" i="1"/>
  <c r="G22" i="1"/>
  <c r="G18" i="1"/>
  <c r="G14" i="1"/>
  <c r="G28" i="1"/>
  <c r="G24" i="1"/>
  <c r="G20" i="1"/>
  <c r="G16" i="1"/>
  <c r="G12" i="1"/>
  <c r="G27" i="1"/>
  <c r="G23" i="1"/>
  <c r="G19" i="1"/>
  <c r="E102" i="1"/>
  <c r="E100" i="1"/>
  <c r="E98" i="1"/>
  <c r="E96" i="1"/>
  <c r="E94" i="1"/>
  <c r="E92" i="1"/>
  <c r="E90" i="1"/>
  <c r="E88" i="1"/>
  <c r="E86" i="1"/>
  <c r="E84" i="1"/>
  <c r="E82" i="1"/>
  <c r="E80" i="1"/>
  <c r="E78" i="1"/>
  <c r="E76" i="1"/>
  <c r="E74" i="1"/>
  <c r="E72" i="1"/>
  <c r="E70" i="1"/>
  <c r="E68" i="1"/>
  <c r="E66" i="1"/>
  <c r="E64" i="1"/>
  <c r="E62" i="1"/>
  <c r="E60" i="1"/>
  <c r="E58" i="1"/>
  <c r="E56" i="1"/>
  <c r="E54" i="1"/>
  <c r="E52" i="1"/>
  <c r="E50" i="1"/>
  <c r="E48" i="1"/>
  <c r="E46" i="1"/>
  <c r="E44" i="1"/>
  <c r="E42" i="1"/>
  <c r="E40" i="1"/>
  <c r="E38" i="1"/>
  <c r="E36" i="1"/>
  <c r="E34" i="1"/>
  <c r="E32" i="1"/>
  <c r="E30" i="1"/>
  <c r="E28" i="1"/>
  <c r="E26" i="1"/>
  <c r="E24" i="1"/>
  <c r="E22" i="1"/>
  <c r="E20" i="1"/>
  <c r="E18" i="1"/>
  <c r="E16" i="1"/>
  <c r="E14" i="1"/>
  <c r="E12" i="1"/>
  <c r="E101" i="1"/>
  <c r="E99" i="1"/>
  <c r="E97" i="1"/>
  <c r="E95" i="1"/>
  <c r="E93" i="1"/>
  <c r="E91" i="1"/>
  <c r="E89" i="1"/>
  <c r="E87" i="1"/>
  <c r="E85" i="1"/>
  <c r="E83" i="1"/>
  <c r="E81" i="1"/>
  <c r="E79" i="1"/>
  <c r="E77" i="1"/>
  <c r="E75" i="1"/>
  <c r="E73" i="1"/>
  <c r="E71" i="1"/>
  <c r="E69" i="1"/>
  <c r="E67" i="1"/>
  <c r="E65" i="1"/>
  <c r="E63" i="1"/>
  <c r="E61" i="1"/>
  <c r="E59" i="1"/>
  <c r="E57" i="1"/>
  <c r="E55" i="1"/>
  <c r="E53" i="1"/>
  <c r="E51" i="1"/>
  <c r="E49" i="1"/>
  <c r="E47" i="1"/>
  <c r="E45" i="1"/>
  <c r="E43" i="1"/>
  <c r="E41" i="1"/>
  <c r="E39" i="1"/>
  <c r="E37" i="1"/>
  <c r="E35" i="1"/>
  <c r="E33" i="1"/>
  <c r="E31" i="1"/>
  <c r="E29" i="1"/>
  <c r="E27" i="1"/>
  <c r="E25" i="1"/>
  <c r="E23" i="1"/>
  <c r="E21" i="1"/>
  <c r="E19" i="1"/>
  <c r="E17" i="1"/>
  <c r="E15" i="1"/>
  <c r="E13" i="1"/>
  <c r="E11" i="1"/>
  <c r="E10" i="1"/>
  <c r="F64" i="1"/>
  <c r="F62" i="1"/>
  <c r="F60" i="1"/>
  <c r="F58" i="1"/>
  <c r="F56" i="1"/>
  <c r="F54" i="1"/>
  <c r="F52" i="1"/>
  <c r="F50" i="1"/>
  <c r="F48" i="1"/>
  <c r="F46" i="1"/>
  <c r="F44" i="1"/>
  <c r="F42" i="1"/>
  <c r="F40" i="1"/>
  <c r="F38" i="1"/>
  <c r="F36" i="1"/>
  <c r="F34" i="1"/>
  <c r="F32" i="1"/>
  <c r="F30" i="1"/>
  <c r="F28" i="1"/>
  <c r="F26" i="1"/>
  <c r="F24" i="1"/>
  <c r="F22" i="1"/>
  <c r="F18" i="1"/>
  <c r="F16" i="1"/>
  <c r="F14" i="1"/>
  <c r="F12" i="1"/>
  <c r="F65" i="1"/>
  <c r="F63" i="1"/>
  <c r="F61" i="1"/>
  <c r="F59" i="1"/>
  <c r="F57" i="1"/>
  <c r="F55" i="1"/>
  <c r="F53" i="1"/>
  <c r="F51" i="1"/>
  <c r="F49" i="1"/>
  <c r="F47" i="1"/>
  <c r="F45" i="1"/>
  <c r="F43" i="1"/>
  <c r="F41" i="1"/>
  <c r="F39" i="1"/>
  <c r="F37" i="1"/>
  <c r="F35" i="1"/>
  <c r="F33" i="1"/>
  <c r="F31" i="1"/>
  <c r="F29" i="1"/>
  <c r="F27" i="1"/>
  <c r="F25" i="1"/>
  <c r="F23" i="1"/>
  <c r="F21" i="1"/>
  <c r="F19" i="1"/>
  <c r="F17" i="1"/>
  <c r="F15" i="1"/>
  <c r="F13" i="1"/>
  <c r="F10" i="1"/>
  <c r="F11" i="1"/>
  <c r="F67" i="1"/>
  <c r="F66" i="1"/>
  <c r="F68" i="1"/>
  <c r="F102" i="1"/>
  <c r="F70" i="1"/>
  <c r="F99" i="1"/>
  <c r="F95" i="1"/>
  <c r="F91" i="1"/>
  <c r="F87" i="1"/>
  <c r="F83" i="1"/>
  <c r="F79" i="1"/>
  <c r="F75" i="1"/>
  <c r="F71" i="1"/>
  <c r="F94" i="1"/>
  <c r="F82" i="1"/>
  <c r="F74" i="1"/>
  <c r="F100" i="1"/>
  <c r="F96" i="1"/>
  <c r="F92" i="1"/>
  <c r="F88" i="1"/>
  <c r="F84" i="1"/>
  <c r="F80" i="1"/>
  <c r="F76" i="1"/>
  <c r="F72" i="1"/>
  <c r="F98" i="1"/>
  <c r="F90" i="1"/>
  <c r="F86" i="1"/>
  <c r="F78" i="1"/>
  <c r="F101" i="1"/>
  <c r="F97" i="1"/>
  <c r="F93" i="1"/>
  <c r="F89" i="1"/>
  <c r="F85" i="1"/>
  <c r="F81" i="1"/>
  <c r="F77" i="1"/>
  <c r="F73" i="1"/>
  <c r="F69" i="1"/>
  <c r="F20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<sst xmlns="http://schemas.openxmlformats.org/spreadsheetml/2006/main" count="14" uniqueCount="12">
  <si>
    <t>Source:</t>
  </si>
  <si>
    <t>http://risksir.com</t>
  </si>
  <si>
    <t>Description:</t>
  </si>
  <si>
    <t>This is an example of calculation of EWMA-based volatility with VBA</t>
  </si>
  <si>
    <t>Return</t>
  </si>
  <si>
    <t>Price</t>
  </si>
  <si>
    <t>One-day EWMA variance</t>
  </si>
  <si>
    <t>One-day EWMA volatility</t>
  </si>
  <si>
    <t>Day</t>
  </si>
  <si>
    <t>(MA period: 20 days)</t>
  </si>
  <si>
    <t>One-day standard  deviation</t>
  </si>
  <si>
    <t>Lambda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</si>
</sst>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0.000"/>
  </numFmts>
  <fonts count="5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</cellStyleXfs>
  <cellXfs count="12">
    <xf numFmtId="0" fontId="0" fillId="0" borderId="0" xfId="0"/>
    <xf numFmtId="10" fontId="0" fillId="0" borderId="0" xfId="1" applyNumberFormat="1" applyFont="1"/>
    <xf numFmtId="165" fontId="0" fillId="0" borderId="0" xfId="0" applyNumberFormat="1"/>
    <xf numFmtId="10" fontId="0" fillId="0" borderId="0" xfId="1" applyNumberFormat="1" applyFont="1" applyFill="1" applyBorder="1" applyAlignment="1">
      <alignment horizontal="center" vertical="center"/>
    </xf>
    <xf numFmtId="10" fontId="3" fillId="0" borderId="0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0" fontId="0" fillId="0" borderId="0" xfId="1" applyNumberFormat="1" applyFont="1" applyAlignment="1">
      <alignment horizontal="center"/>
    </xf>
    <xf numFmtId="9" fontId="4" fillId="0" borderId="0" xfId="1" applyFont="1" applyAlignment="1">
      <alignment horizontal="center"/>
    </xf>
    <xf numFmtId="10" fontId="4" fillId="0" borderId="0" xfId="1" applyNumberFormat="1" applyFont="1" applyAlignment="1">
      <alignment horizontal="center"/>
    </xf>
    <xf numFmtId="0" fontId="2" fillId="0" borderId="0" xfId="2" applyAlignment="1">
      <alignment horizontal="left"/>
    </xf>
    <xf numFmtId="0" fontId="0" fillId="0" borderId="0" xfId="0" applyAlignment="1">
      <alignment horizontal="left"/>
    </xf>
    <xf numFmtId="10" fontId="0" fillId="0" borderId="0" xfId="1" applyNumberFormat="1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Percent" xfId="1" builtinId="5"/>
  </cellStyles>
  <dxfs count="2"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FFA329"/>
      <color rgb="FFFBA90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Volatility of return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Sheet1!$D$8:$D$9</c:f>
              <c:strCache>
                <c:ptCount val="2"/>
                <c:pt idx="0">
                  <c:v>Return</c:v>
                </c:pt>
              </c:strCache>
            </c:strRef>
          </c:tx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val>
            <c:numRef>
              <c:f>Sheet1!$D$10:$D$102</c:f>
              <c:numCache>
                <c:formatCode>0.00%</c:formatCode>
                <c:ptCount val="93"/>
                <c:pt idx="0">
                  <c:v>2.6663111743080545E-4</c:v>
                </c:pt>
                <c:pt idx="1">
                  <c:v>5.450329211798265E-3</c:v>
                </c:pt>
                <c:pt idx="2">
                  <c:v>9.2758238943951995E-4</c:v>
                </c:pt>
                <c:pt idx="3">
                  <c:v>2.2491244514513263E-3</c:v>
                </c:pt>
                <c:pt idx="4">
                  <c:v>2.6427061464576521E-4</c:v>
                </c:pt>
                <c:pt idx="5">
                  <c:v>4.0872889652549529E-3</c:v>
                </c:pt>
                <c:pt idx="6">
                  <c:v>3.6774404458871832E-3</c:v>
                </c:pt>
                <c:pt idx="7">
                  <c:v>-5.2452138627176513E-4</c:v>
                </c:pt>
                <c:pt idx="8">
                  <c:v>-2.6236390023246447E-4</c:v>
                </c:pt>
                <c:pt idx="9">
                  <c:v>1.8351034118326058E-3</c:v>
                </c:pt>
                <c:pt idx="10">
                  <c:v>3.6601348050583331E-3</c:v>
                </c:pt>
                <c:pt idx="11">
                  <c:v>-1.1750115589123902E-3</c:v>
                </c:pt>
                <c:pt idx="12">
                  <c:v>1.3062504100623217E-4</c:v>
                </c:pt>
                <c:pt idx="13">
                  <c:v>-1.9611694852235441E-3</c:v>
                </c:pt>
                <c:pt idx="14">
                  <c:v>2.74456161302776E-3</c:v>
                </c:pt>
                <c:pt idx="15">
                  <c:v>5.3368170923713855E-3</c:v>
                </c:pt>
                <c:pt idx="16">
                  <c:v>7.7861410629643179E-4</c:v>
                </c:pt>
                <c:pt idx="17">
                  <c:v>2.5940337369832186E-4</c:v>
                </c:pt>
                <c:pt idx="18">
                  <c:v>-3.8913029870365308E-4</c:v>
                </c:pt>
                <c:pt idx="19">
                  <c:v>2.5943702311833922E-4</c:v>
                </c:pt>
                <c:pt idx="20">
                  <c:v>-6.1146355869710588E-3</c:v>
                </c:pt>
                <c:pt idx="21">
                  <c:v>9.1306339089754554E-4</c:v>
                </c:pt>
                <c:pt idx="22">
                  <c:v>4.423059116659714E-3</c:v>
                </c:pt>
                <c:pt idx="23">
                  <c:v>-9.0903194364414354E-4</c:v>
                </c:pt>
                <c:pt idx="24">
                  <c:v>-1.1699708841890514E-3</c:v>
                </c:pt>
                <c:pt idx="25">
                  <c:v>-1.6923781947304943E-3</c:v>
                </c:pt>
                <c:pt idx="26">
                  <c:v>2.3425310035367483E-3</c:v>
                </c:pt>
                <c:pt idx="27">
                  <c:v>3.2444386386294641E-3</c:v>
                </c:pt>
                <c:pt idx="28">
                  <c:v>-1.685794343348064E-3</c:v>
                </c:pt>
                <c:pt idx="29">
                  <c:v>3.6274168548193222E-3</c:v>
                </c:pt>
                <c:pt idx="30">
                  <c:v>3.0987758818362878E-3</c:v>
                </c:pt>
                <c:pt idx="31">
                  <c:v>-6.4478692026958878E-4</c:v>
                </c:pt>
                <c:pt idx="32">
                  <c:v>-5.1612904371552192E-4</c:v>
                </c:pt>
                <c:pt idx="33">
                  <c:v>-2.5816445218899075E-4</c:v>
                </c:pt>
                <c:pt idx="34">
                  <c:v>1.2909055720479714E-4</c:v>
                </c:pt>
                <c:pt idx="35">
                  <c:v>1.0321249787365715E-3</c:v>
                </c:pt>
                <c:pt idx="36">
                  <c:v>9.0223631821248983E-4</c:v>
                </c:pt>
                <c:pt idx="37">
                  <c:v>0</c:v>
                </c:pt>
                <c:pt idx="38">
                  <c:v>7.7269804230917759E-4</c:v>
                </c:pt>
                <c:pt idx="39">
                  <c:v>0</c:v>
                </c:pt>
                <c:pt idx="40">
                  <c:v>2.4429456058251342E-3</c:v>
                </c:pt>
                <c:pt idx="41">
                  <c:v>-3.2156436481344227E-3</c:v>
                </c:pt>
                <c:pt idx="42">
                  <c:v>2.3163052435855305E-3</c:v>
                </c:pt>
                <c:pt idx="43">
                  <c:v>2.1827061371626141E-3</c:v>
                </c:pt>
                <c:pt idx="44">
                  <c:v>3.2012320058594414E-3</c:v>
                </c:pt>
                <c:pt idx="45">
                  <c:v>-1.9195091951683927E-3</c:v>
                </c:pt>
                <c:pt idx="46">
                  <c:v>-1.2809837973077693E-4</c:v>
                </c:pt>
                <c:pt idx="47">
                  <c:v>3.1975470103774817E-3</c:v>
                </c:pt>
                <c:pt idx="48">
                  <c:v>2.5536261630088573E-4</c:v>
                </c:pt>
                <c:pt idx="49">
                  <c:v>3.3137934989363707E-3</c:v>
                </c:pt>
                <c:pt idx="50">
                  <c:v>4.5702758235676285E-3</c:v>
                </c:pt>
                <c:pt idx="51">
                  <c:v>1.6452576007649502E-3</c:v>
                </c:pt>
                <c:pt idx="52">
                  <c:v>7.5843765486218004E-4</c:v>
                </c:pt>
                <c:pt idx="53">
                  <c:v>0</c:v>
                </c:pt>
                <c:pt idx="54">
                  <c:v>2.271867694317023E-3</c:v>
                </c:pt>
                <c:pt idx="55">
                  <c:v>7.5614370332387465E-4</c:v>
                </c:pt>
                <c:pt idx="56">
                  <c:v>-1.0083187141169845E-3</c:v>
                </c:pt>
                <c:pt idx="57">
                  <c:v>-4.8034474863876608E-3</c:v>
                </c:pt>
                <c:pt idx="58">
                  <c:v>1.2670256589650169E-4</c:v>
                </c:pt>
                <c:pt idx="59">
                  <c:v>-1.7752984627143716E-3</c:v>
                </c:pt>
                <c:pt idx="60">
                  <c:v>2.2819482518927309E-3</c:v>
                </c:pt>
                <c:pt idx="61">
                  <c:v>2.7819947128313875E-3</c:v>
                </c:pt>
                <c:pt idx="62">
                  <c:v>0</c:v>
                </c:pt>
                <c:pt idx="63">
                  <c:v>-6.3159226504289328E-4</c:v>
                </c:pt>
                <c:pt idx="64">
                  <c:v>-2.0237800987747976E-3</c:v>
                </c:pt>
                <c:pt idx="65">
                  <c:v>3.2865659718467927E-3</c:v>
                </c:pt>
                <c:pt idx="66">
                  <c:v>5.7883639658193736E-3</c:v>
                </c:pt>
                <c:pt idx="67">
                  <c:v>3.006767487008088E-3</c:v>
                </c:pt>
                <c:pt idx="68">
                  <c:v>1.0002501459114624E-3</c:v>
                </c:pt>
                <c:pt idx="69">
                  <c:v>-3.5052614758800124E-3</c:v>
                </c:pt>
                <c:pt idx="70">
                  <c:v>1.253997117450253E-4</c:v>
                </c:pt>
                <c:pt idx="71">
                  <c:v>-6.2715586878457814E-4</c:v>
                </c:pt>
                <c:pt idx="72">
                  <c:v>1.880288864852128E-3</c:v>
                </c:pt>
                <c:pt idx="73">
                  <c:v>-1.0023807379834517E-3</c:v>
                </c:pt>
                <c:pt idx="74">
                  <c:v>2.7541329376924591E-3</c:v>
                </c:pt>
                <c:pt idx="75">
                  <c:v>1.2493754748604253E-3</c:v>
                </c:pt>
                <c:pt idx="76">
                  <c:v>1.3725125368779932E-3</c:v>
                </c:pt>
                <c:pt idx="77">
                  <c:v>4.3545947505144967E-3</c:v>
                </c:pt>
                <c:pt idx="78">
                  <c:v>-6.2092519846564283E-4</c:v>
                </c:pt>
                <c:pt idx="79">
                  <c:v>4.9677099879047578E-4</c:v>
                </c:pt>
                <c:pt idx="80">
                  <c:v>-6.2100231766577091E-4</c:v>
                </c:pt>
                <c:pt idx="81">
                  <c:v>-1.3675640845874258E-3</c:v>
                </c:pt>
                <c:pt idx="82">
                  <c:v>-7.8686473561010908E-3</c:v>
                </c:pt>
                <c:pt idx="83">
                  <c:v>-5.0282946925357206E-3</c:v>
                </c:pt>
                <c:pt idx="84">
                  <c:v>6.9074057998108956E-3</c:v>
                </c:pt>
                <c:pt idx="85">
                  <c:v>-2.5062669760596117E-3</c:v>
                </c:pt>
                <c:pt idx="86">
                  <c:v>-3.015835409716451E-3</c:v>
                </c:pt>
                <c:pt idx="87">
                  <c:v>8.8956296684071946E-3</c:v>
                </c:pt>
                <c:pt idx="88">
                  <c:v>3.7350641031812437E-3</c:v>
                </c:pt>
                <c:pt idx="89">
                  <c:v>5.0821305541744344E-3</c:v>
                </c:pt>
                <c:pt idx="90">
                  <c:v>2.2230464879466733E-3</c:v>
                </c:pt>
                <c:pt idx="91">
                  <c:v>1.1096727604377971E-3</c:v>
                </c:pt>
                <c:pt idx="92">
                  <c:v>-1.8501392881614773E-3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8B2-496A-89B1-C8E8BEDC9396}"/>
            </c:ext>
          </c:extLst>
        </c:ser>
        <c:ser>
          <c:idx val="1"/>
          <c:order val="1"/>
          <c:tx>
            <c:strRef>
              <c:f>Sheet1!$F$8:$F$9</c:f>
              <c:strCache>
                <c:ptCount val="2"/>
                <c:pt idx="0">
                  <c:v>One-day EWMA volatility</c:v>
                </c:pt>
                <c:pt idx="1">
                  <c:v>(MA period: 20 days)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Sheet1!$F$10:$F$102</c:f>
              <c:numCache>
                <c:formatCode>0.00%</c:formatCode>
                <c:ptCount val="93"/>
                <c:pt idx="0">
                  <c:v>5.9620536607903208E-5</c:v>
                </c:pt>
                <c:pt idx="1">
                  <c:v>1.220115427669047E-3</c:v>
                </c:pt>
                <c:pt idx="2">
                  <c:v>1.2071735714384313E-3</c:v>
                </c:pt>
                <c:pt idx="3">
                  <c:v>1.2795829702453457E-3</c:v>
                </c:pt>
                <c:pt idx="4">
                  <c:v>1.2485823335711005E-3</c:v>
                </c:pt>
                <c:pt idx="5">
                  <c:v>1.5219417548342519E-3</c:v>
                </c:pt>
                <c:pt idx="6">
                  <c:v>1.6960748587512764E-3</c:v>
                </c:pt>
                <c:pt idx="7">
                  <c:v>1.6572846678674352E-3</c:v>
                </c:pt>
                <c:pt idx="8">
                  <c:v>1.6163862701926396E-3</c:v>
                </c:pt>
                <c:pt idx="9">
                  <c:v>1.6280201109528834E-3</c:v>
                </c:pt>
                <c:pt idx="10">
                  <c:v>1.7854289519639002E-3</c:v>
                </c:pt>
                <c:pt idx="11">
                  <c:v>1.7599435334196957E-3</c:v>
                </c:pt>
                <c:pt idx="12">
                  <c:v>1.7156294036649719E-3</c:v>
                </c:pt>
                <c:pt idx="13">
                  <c:v>1.7287349031009566E-3</c:v>
                </c:pt>
                <c:pt idx="14">
                  <c:v>1.7932454362087277E-3</c:v>
                </c:pt>
                <c:pt idx="15">
                  <c:v>2.1163704422199974E-3</c:v>
                </c:pt>
                <c:pt idx="16">
                  <c:v>2.0701170643138301E-3</c:v>
                </c:pt>
                <c:pt idx="17">
                  <c:v>2.0185340698840922E-3</c:v>
                </c:pt>
                <c:pt idx="18">
                  <c:v>1.9693468112956551E-3</c:v>
                </c:pt>
                <c:pt idx="19">
                  <c:v>1.9203582478013739E-3</c:v>
                </c:pt>
                <c:pt idx="20">
                  <c:v>2.3179356851660243E-3</c:v>
                </c:pt>
                <c:pt idx="21">
                  <c:v>2.2684507403835947E-3</c:v>
                </c:pt>
                <c:pt idx="22">
                  <c:v>2.4221370681650469E-3</c:v>
                </c:pt>
                <c:pt idx="23">
                  <c:v>2.3695416332783071E-3</c:v>
                </c:pt>
                <c:pt idx="24">
                  <c:v>2.3243133705622651E-3</c:v>
                </c:pt>
                <c:pt idx="25">
                  <c:v>2.2968496211167367E-3</c:v>
                </c:pt>
                <c:pt idx="26">
                  <c:v>2.2991552226466982E-3</c:v>
                </c:pt>
                <c:pt idx="27">
                  <c:v>2.355446484183826E-3</c:v>
                </c:pt>
                <c:pt idx="28">
                  <c:v>2.3265461286076468E-3</c:v>
                </c:pt>
                <c:pt idx="29">
                  <c:v>2.4083363212886282E-3</c:v>
                </c:pt>
                <c:pt idx="30">
                  <c:v>2.4474885718102257E-3</c:v>
                </c:pt>
                <c:pt idx="31">
                  <c:v>2.3898697969409822E-3</c:v>
                </c:pt>
                <c:pt idx="32">
                  <c:v>2.3322142319685234E-3</c:v>
                </c:pt>
                <c:pt idx="33">
                  <c:v>2.273894097364124E-3</c:v>
                </c:pt>
                <c:pt idx="34">
                  <c:v>2.2165057927410283E-3</c:v>
                </c:pt>
                <c:pt idx="35">
                  <c:v>2.1726751000004764E-3</c:v>
                </c:pt>
                <c:pt idx="36">
                  <c:v>2.1272500220698223E-3</c:v>
                </c:pt>
                <c:pt idx="37">
                  <c:v>2.0733868551465551E-3</c:v>
                </c:pt>
                <c:pt idx="38">
                  <c:v>2.0282602212766659E-3</c:v>
                </c:pt>
                <c:pt idx="39">
                  <c:v>1.9769035079330905E-3</c:v>
                </c:pt>
                <c:pt idx="40">
                  <c:v>2.0027829007938265E-3</c:v>
                </c:pt>
                <c:pt idx="41">
                  <c:v>2.0802886054890205E-3</c:v>
                </c:pt>
                <c:pt idx="42">
                  <c:v>2.0927217005271659E-3</c:v>
                </c:pt>
                <c:pt idx="43">
                  <c:v>2.0973126224967617E-3</c:v>
                </c:pt>
                <c:pt idx="44">
                  <c:v>2.165912880713064E-3</c:v>
                </c:pt>
                <c:pt idx="45">
                  <c:v>2.1542621510176993E-3</c:v>
                </c:pt>
                <c:pt idx="46">
                  <c:v>2.0999103787992419E-3</c:v>
                </c:pt>
                <c:pt idx="47">
                  <c:v>2.1680308603083173E-3</c:v>
                </c:pt>
                <c:pt idx="48">
                  <c:v>2.1139064250306674E-3</c:v>
                </c:pt>
                <c:pt idx="49">
                  <c:v>2.1895734290635588E-3</c:v>
                </c:pt>
                <c:pt idx="50">
                  <c:v>2.3661976581896426E-3</c:v>
                </c:pt>
                <c:pt idx="51">
                  <c:v>2.3354422343607956E-3</c:v>
                </c:pt>
                <c:pt idx="52">
                  <c:v>2.2826163064928618E-3</c:v>
                </c:pt>
                <c:pt idx="53">
                  <c:v>2.224819137993612E-3</c:v>
                </c:pt>
                <c:pt idx="54">
                  <c:v>2.2271951932595546E-3</c:v>
                </c:pt>
                <c:pt idx="55">
                  <c:v>2.1773759834386869E-3</c:v>
                </c:pt>
                <c:pt idx="56">
                  <c:v>2.1341867514455123E-3</c:v>
                </c:pt>
                <c:pt idx="57">
                  <c:v>2.3410833267757235E-3</c:v>
                </c:pt>
                <c:pt idx="58">
                  <c:v>2.2819816325970899E-3</c:v>
                </c:pt>
                <c:pt idx="59">
                  <c:v>2.2593477717714667E-3</c:v>
                </c:pt>
                <c:pt idx="60">
                  <c:v>2.2604831546095224E-3</c:v>
                </c:pt>
                <c:pt idx="61">
                  <c:v>2.289381938341275E-3</c:v>
                </c:pt>
                <c:pt idx="62">
                  <c:v>2.231413490879687E-3</c:v>
                </c:pt>
                <c:pt idx="63">
                  <c:v>2.1794933219889015E-3</c:v>
                </c:pt>
                <c:pt idx="64">
                  <c:v>2.1719728096244555E-3</c:v>
                </c:pt>
                <c:pt idx="65">
                  <c:v>2.2409079722651745E-3</c:v>
                </c:pt>
                <c:pt idx="66">
                  <c:v>2.5388665569326444E-3</c:v>
                </c:pt>
                <c:pt idx="67">
                  <c:v>2.5642900898966642E-3</c:v>
                </c:pt>
                <c:pt idx="68">
                  <c:v>2.5093483945074309E-3</c:v>
                </c:pt>
                <c:pt idx="69">
                  <c:v>2.5683323068568286E-3</c:v>
                </c:pt>
                <c:pt idx="70">
                  <c:v>2.5034577052253106E-3</c:v>
                </c:pt>
                <c:pt idx="71">
                  <c:v>2.4440952585701452E-3</c:v>
                </c:pt>
                <c:pt idx="72">
                  <c:v>2.4190278518823323E-3</c:v>
                </c:pt>
                <c:pt idx="73">
                  <c:v>2.3684064843297759E-3</c:v>
                </c:pt>
                <c:pt idx="74">
                  <c:v>2.389172310007107E-3</c:v>
                </c:pt>
                <c:pt idx="75">
                  <c:v>2.3453750178362301E-3</c:v>
                </c:pt>
                <c:pt idx="76">
                  <c:v>2.3064982760084641E-3</c:v>
                </c:pt>
                <c:pt idx="77">
                  <c:v>2.4499107198782148E-3</c:v>
                </c:pt>
                <c:pt idx="78">
                  <c:v>2.3919107058923868E-3</c:v>
                </c:pt>
                <c:pt idx="79">
                  <c:v>2.3339909770565969E-3</c:v>
                </c:pt>
                <c:pt idx="80">
                  <c:v>2.2791270952085018E-3</c:v>
                </c:pt>
                <c:pt idx="81">
                  <c:v>2.2423672434616435E-3</c:v>
                </c:pt>
                <c:pt idx="82">
                  <c:v>2.8058121135493791E-3</c:v>
                </c:pt>
                <c:pt idx="83">
                  <c:v>2.956880107312025E-3</c:v>
                </c:pt>
                <c:pt idx="84">
                  <c:v>3.2698006537288972E-3</c:v>
                </c:pt>
                <c:pt idx="85">
                  <c:v>3.2359055872456452E-3</c:v>
                </c:pt>
                <c:pt idx="86">
                  <c:v>3.2252587145105288E-3</c:v>
                </c:pt>
                <c:pt idx="87">
                  <c:v>3.7200525446684021E-3</c:v>
                </c:pt>
                <c:pt idx="88">
                  <c:v>3.720804566425668E-3</c:v>
                </c:pt>
                <c:pt idx="89">
                  <c:v>3.8004697068823911E-3</c:v>
                </c:pt>
                <c:pt idx="90">
                  <c:v>3.7374440768806467E-3</c:v>
                </c:pt>
                <c:pt idx="91">
                  <c:v>3.6512507706254809E-3</c:v>
                </c:pt>
                <c:pt idx="92">
                  <c:v>3.5827644870404926E-3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B2-496A-89B1-C8E8BEDC9396}"/>
            </c:ext>
          </c:extLst>
        </c:ser>
        <c:ser>
          <c:idx val="2"/>
          <c:order val="2"/>
          <c:tx>
            <c:strRef>
              <c:f>Sheet1!$G$8:$G$9</c:f>
              <c:strCache>
                <c:ptCount val="2"/>
                <c:pt idx="0">
                  <c:v>One-day standard  deviation</c:v>
                </c:pt>
                <c:pt idx="1">
                  <c:v>(MA period: 20 days)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val>
            <c:numRef>
              <c:f>Sheet1!$G$10:$G$102</c:f>
              <c:numCache>
                <c:formatCode>0.00%</c:formatCode>
                <c:ptCount val="93"/>
                <c:pt idx="1">
                  <c:v>3.6654280741510148E-3</c:v>
                </c:pt>
                <c:pt idx="2">
                  <c:v>2.8214305277251021E-3</c:v>
                </c:pt>
                <c:pt idx="3">
                  <c:v>2.3037521295965016E-3</c:v>
                </c:pt>
                <c:pt idx="4">
                  <c:v>2.1790149506666942E-3</c:v>
                </c:pt>
                <c:pt idx="5">
                  <c:v>2.1555779730934453E-3</c:v>
                </c:pt>
                <c:pt idx="6">
                  <c:v>2.0446897355172553E-3</c:v>
                </c:pt>
                <c:pt idx="7">
                  <c:v>2.1599673697529202E-3</c:v>
                </c:pt>
                <c:pt idx="8">
                  <c:v>2.1624688796086002E-3</c:v>
                </c:pt>
                <c:pt idx="9">
                  <c:v>2.0388389654518954E-3</c:v>
                </c:pt>
                <c:pt idx="10">
                  <c:v>2.0141295943870005E-3</c:v>
                </c:pt>
                <c:pt idx="11">
                  <c:v>2.1237530946776749E-3</c:v>
                </c:pt>
                <c:pt idx="12">
                  <c:v>2.0796759209831327E-3</c:v>
                </c:pt>
                <c:pt idx="13">
                  <c:v>2.2113066407401286E-3</c:v>
                </c:pt>
                <c:pt idx="14">
                  <c:v>2.1619263388105185E-3</c:v>
                </c:pt>
                <c:pt idx="15">
                  <c:v>2.3062712724290922E-3</c:v>
                </c:pt>
                <c:pt idx="16">
                  <c:v>2.2434593552436211E-3</c:v>
                </c:pt>
                <c:pt idx="17">
                  <c:v>2.1998649630816411E-3</c:v>
                </c:pt>
                <c:pt idx="18">
                  <c:v>2.1832776409627459E-3</c:v>
                </c:pt>
                <c:pt idx="19">
                  <c:v>2.1413738959088768E-3</c:v>
                </c:pt>
                <c:pt idx="20">
                  <c:v>2.7147529076564638E-3</c:v>
                </c:pt>
                <c:pt idx="21">
                  <c:v>2.5106135321221199E-3</c:v>
                </c:pt>
                <c:pt idx="22">
                  <c:v>2.6359486566970261E-3</c:v>
                </c:pt>
                <c:pt idx="23">
                  <c:v>2.6523311127588604E-3</c:v>
                </c:pt>
                <c:pt idx="24">
                  <c:v>2.6881961010151848E-3</c:v>
                </c:pt>
                <c:pt idx="25">
                  <c:v>2.6238347549806095E-3</c:v>
                </c:pt>
                <c:pt idx="26">
                  <c:v>2.5545762750208562E-3</c:v>
                </c:pt>
                <c:pt idx="27">
                  <c:v>2.6191032138122316E-3</c:v>
                </c:pt>
                <c:pt idx="28">
                  <c:v>2.6631044085569928E-3</c:v>
                </c:pt>
                <c:pt idx="29">
                  <c:v>2.7380276321602925E-3</c:v>
                </c:pt>
                <c:pt idx="30">
                  <c:v>2.7080560340777462E-3</c:v>
                </c:pt>
                <c:pt idx="31">
                  <c:v>2.6922822096919524E-3</c:v>
                </c:pt>
                <c:pt idx="32">
                  <c:v>2.7024558123047672E-3</c:v>
                </c:pt>
                <c:pt idx="33">
                  <c:v>2.6437939015420847E-3</c:v>
                </c:pt>
                <c:pt idx="34">
                  <c:v>2.6007580805975628E-3</c:v>
                </c:pt>
                <c:pt idx="35">
                  <c:v>2.3499301379265856E-3</c:v>
                </c:pt>
                <c:pt idx="36">
                  <c:v>2.3513167143818505E-3</c:v>
                </c:pt>
                <c:pt idx="37">
                  <c:v>2.3525148087221882E-3</c:v>
                </c:pt>
                <c:pt idx="38">
                  <c:v>2.3481733694521337E-3</c:v>
                </c:pt>
                <c:pt idx="39">
                  <c:v>2.3496353502064243E-3</c:v>
                </c:pt>
                <c:pt idx="40">
                  <c:v>1.8266885195436062E-3</c:v>
                </c:pt>
                <c:pt idx="41">
                  <c:v>2.0349686175254998E-3</c:v>
                </c:pt>
                <c:pt idx="42">
                  <c:v>1.8746608993564166E-3</c:v>
                </c:pt>
                <c:pt idx="43">
                  <c:v>1.8806156012761031E-3</c:v>
                </c:pt>
                <c:pt idx="44">
                  <c:v>1.9122698718247858E-3</c:v>
                </c:pt>
                <c:pt idx="45">
                  <c:v>1.9288530918976099E-3</c:v>
                </c:pt>
                <c:pt idx="46">
                  <c:v>1.9074066469066519E-3</c:v>
                </c:pt>
                <c:pt idx="47">
                  <c:v>1.9041781446023018E-3</c:v>
                </c:pt>
                <c:pt idx="48">
                  <c:v>1.8224540172056894E-3</c:v>
                </c:pt>
                <c:pt idx="49">
                  <c:v>1.7982494391860359E-3</c:v>
                </c:pt>
                <c:pt idx="50">
                  <c:v>1.9227003165815672E-3</c:v>
                </c:pt>
                <c:pt idx="51">
                  <c:v>1.8949989514968663E-3</c:v>
                </c:pt>
                <c:pt idx="52">
                  <c:v>1.8626178714336613E-3</c:v>
                </c:pt>
                <c:pt idx="53">
                  <c:v>1.8538765587579578E-3</c:v>
                </c:pt>
                <c:pt idx="54">
                  <c:v>1.8583771285352346E-3</c:v>
                </c:pt>
                <c:pt idx="55">
                  <c:v>1.8605561084054502E-3</c:v>
                </c:pt>
                <c:pt idx="56">
                  <c:v>1.9228264681599332E-3</c:v>
                </c:pt>
                <c:pt idx="57">
                  <c:v>2.3221252365789964E-3</c:v>
                </c:pt>
                <c:pt idx="58">
                  <c:v>2.3274578654555581E-3</c:v>
                </c:pt>
                <c:pt idx="59">
                  <c:v>2.3924470065095705E-3</c:v>
                </c:pt>
                <c:pt idx="60">
                  <c:v>2.3865708358523953E-3</c:v>
                </c:pt>
                <c:pt idx="61">
                  <c:v>2.2408432192547044E-3</c:v>
                </c:pt>
                <c:pt idx="62">
                  <c:v>2.2291257841240628E-3</c:v>
                </c:pt>
                <c:pt idx="63">
                  <c:v>2.2317499628346513E-3</c:v>
                </c:pt>
                <c:pt idx="64">
                  <c:v>2.234873139694245E-3</c:v>
                </c:pt>
                <c:pt idx="65">
                  <c:v>2.2434282649023704E-3</c:v>
                </c:pt>
                <c:pt idx="66">
                  <c:v>2.498041415428566E-3</c:v>
                </c:pt>
                <c:pt idx="67">
                  <c:v>2.4897177685629414E-3</c:v>
                </c:pt>
                <c:pt idx="68">
                  <c:v>2.4830816812121026E-3</c:v>
                </c:pt>
                <c:pt idx="69">
                  <c:v>2.622621846176407E-3</c:v>
                </c:pt>
                <c:pt idx="70">
                  <c:v>2.4632267701618794E-3</c:v>
                </c:pt>
                <c:pt idx="71">
                  <c:v>2.4602261614539785E-3</c:v>
                </c:pt>
                <c:pt idx="72">
                  <c:v>2.4817518648889551E-3</c:v>
                </c:pt>
                <c:pt idx="73">
                  <c:v>2.5012896995172808E-3</c:v>
                </c:pt>
                <c:pt idx="74">
                  <c:v>2.5225550808248183E-3</c:v>
                </c:pt>
                <c:pt idx="75">
                  <c:v>2.5284127254428961E-3</c:v>
                </c:pt>
                <c:pt idx="76">
                  <c:v>2.5123713811372708E-3</c:v>
                </c:pt>
                <c:pt idx="77">
                  <c:v>2.3088945362108146E-3</c:v>
                </c:pt>
                <c:pt idx="78">
                  <c:v>2.3301100073184582E-3</c:v>
                </c:pt>
                <c:pt idx="79">
                  <c:v>2.2421887727413943E-3</c:v>
                </c:pt>
                <c:pt idx="80">
                  <c:v>2.2554607818903428E-3</c:v>
                </c:pt>
                <c:pt idx="81">
                  <c:v>2.2691971563118534E-3</c:v>
                </c:pt>
                <c:pt idx="82">
                  <c:v>2.9770354473026245E-3</c:v>
                </c:pt>
                <c:pt idx="83">
                  <c:v>3.2069708642536348E-3</c:v>
                </c:pt>
                <c:pt idx="84">
                  <c:v>3.4993989797920274E-3</c:v>
                </c:pt>
                <c:pt idx="85">
                  <c:v>3.5032381837627308E-3</c:v>
                </c:pt>
                <c:pt idx="86">
                  <c:v>3.324482375206458E-3</c:v>
                </c:pt>
                <c:pt idx="87">
                  <c:v>3.8397169830875696E-3</c:v>
                </c:pt>
                <c:pt idx="88">
                  <c:v>3.9196913644206572E-3</c:v>
                </c:pt>
                <c:pt idx="89">
                  <c:v>3.9533728613565175E-3</c:v>
                </c:pt>
                <c:pt idx="90">
                  <c:v>3.9648623040658085E-3</c:v>
                </c:pt>
                <c:pt idx="91">
                  <c:v>3.950615909463784E-3</c:v>
                </c:pt>
                <c:pt idx="92">
                  <c:v>3.9898392842638887E-3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8B2-496A-89B1-C8E8BEDC93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89519311"/>
        <c:axId val="1589521807"/>
      </c:lineChart>
      <c:catAx>
        <c:axId val="1589519311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9521807"/>
        <c:crosses val="autoZero"/>
        <c:auto val="1"/>
        <c:lblAlgn val="ctr"/>
        <c:lblOffset val="100"/>
        <c:noMultiLvlLbl val="0"/>
      </c:catAx>
      <c:valAx>
        <c:axId val="1589521807"/>
        <c:scaling>
          <c:orientation val="minMax"/>
          <c:min val="-8.0000000000000019E-3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75000"/>
                      <a:lumOff val="25000"/>
                    </a:schemeClr>
                  </a:gs>
                  <a:gs pos="0">
                    <a:schemeClr val="dk1">
                      <a:lumMod val="65000"/>
                      <a:lumOff val="3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895193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6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4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</a:schemeClr>
            </a:gs>
            <a:gs pos="0">
              <a:schemeClr val="dk1">
                <a:lumMod val="65000"/>
                <a:lumOff val="3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75000"/>
                <a:lumOff val="25000"/>
                <a:alpha val="25000"/>
              </a:schemeClr>
            </a:gs>
            <a:gs pos="0">
              <a:schemeClr val="dk1">
                <a:lumMod val="65000"/>
                <a:lumOff val="35000"/>
                <a:alpha val="2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152400</xdr:colOff>
      <xdr:row>8</xdr:row>
      <xdr:rowOff>9525</xdr:rowOff>
    </xdr:from>
    <xdr:to>
      <xdr:col>15</xdr:col>
      <xdr:colOff>123825</xdr:colOff>
      <xdr:row>36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F606246-79E0-1CDF-D091-CEEA1D08B0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://risksir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FA453-0777-4ACB-96BE-5C1FB131E888}">
  <sheetPr codeName="Sheet1"/>
  <dimension ref="A1:Q102"/>
  <sheetViews>
    <sheetView tabSelected="1" workbookViewId="0">
      <selection activeCell="B2" sqref="B2"/>
    </sheetView>
  </sheetViews>
  <sheetFormatPr defaultRowHeight="15" x14ac:dyDescent="0.25"/>
  <cols>
    <col min="1" max="1" width="12.42578125" customWidth="1"/>
    <col min="2" max="3" width="9.140625" style="5"/>
    <col min="4" max="4" width="9.140625" style="3"/>
    <col min="5" max="6" width="22.85546875" style="5" customWidth="1"/>
    <col min="7" max="7" width="25.42578125" customWidth="1"/>
    <col min="8" max="8" width="12" bestFit="1" customWidth="1"/>
    <col min="10" max="11" width="12" bestFit="1" customWidth="1"/>
    <col min="12" max="12" width="11" bestFit="1" customWidth="1"/>
    <col min="14" max="14" width="12" bestFit="1" customWidth="1"/>
    <col min="16" max="16" width="12" bestFit="1" customWidth="1"/>
  </cols>
  <sheetData>
    <row r="1" spans="1:13" x14ac:dyDescent="0.25">
      <c r="A1" t="s">
        <v>0</v>
      </c>
      <c r="B1" s="9" t="s">
        <v>1</v>
      </c>
      <c r="C1" s="10"/>
      <c r="D1" s="11"/>
      <c r="E1" s="10"/>
      <c r="F1" s="10"/>
    </row>
    <row r="2" spans="1:13" x14ac:dyDescent="0.25">
      <c r="A2" t="s">
        <v>2</v>
      </c>
      <c r="B2" s="10" t="s">
        <v>3</v>
      </c>
    </row>
    <row r="5" spans="1:13" x14ac:dyDescent="0.25">
      <c r="E5" s="5" t="s">
        <v>11</v>
      </c>
    </row>
    <row r="6" spans="1:13" x14ac:dyDescent="0.25">
      <c r="E6" s="5">
        <v>0.95</v>
      </c>
    </row>
    <row r="8" spans="1:13" x14ac:dyDescent="0.25">
      <c r="B8" s="5" t="s">
        <v>8</v>
      </c>
      <c r="C8" s="5" t="s">
        <v>5</v>
      </c>
      <c r="D8" s="3" t="s">
        <v>4</v>
      </c>
      <c r="E8" s="5" t="s">
        <v>6</v>
      </c>
      <c r="F8" s="5" t="s">
        <v>7</v>
      </c>
      <c r="G8" s="5" t="s">
        <v>10</v>
      </c>
    </row>
    <row r="9" spans="1:13" x14ac:dyDescent="0.25">
      <c r="B9" s="5">
        <v>0</v>
      </c>
      <c r="C9" s="5">
        <v>75</v>
      </c>
      <c r="D9" s="4"/>
      <c r="E9" s="5" t="s">
        <v>9</v>
      </c>
      <c r="F9" s="5" t="s">
        <v>9</v>
      </c>
      <c r="G9" s="5" t="s">
        <v>9</v>
      </c>
      <c r="I9" s="2"/>
      <c r="M9" s="2"/>
    </row>
    <row r="10" spans="1:13" x14ac:dyDescent="0.25">
      <c r="B10" s="5">
        <v>1</v>
      </c>
      <c r="C10" s="5">
        <v>75.02</v>
      </c>
      <c r="D10" s="4">
        <f>LN(C10/C9)</f>
        <v>2.6663111743080545E-4</v>
      </c>
      <c r="E10" s="5" cm="1">
        <f t="array" ref="E10">EWMA(D$10:D10,E$6)</f>
        <v>3.5546083854143262E-9</v>
      </c>
      <c r="F10" s="6">
        <f t="shared" ref="F10:F19" si="0">SQRT(E10)</f>
        <v>5.9620536607903208E-5</v>
      </c>
      <c r="G10" s="7"/>
      <c r="I10" s="2"/>
      <c r="M10" s="2"/>
    </row>
    <row r="11" spans="1:13" x14ac:dyDescent="0.25">
      <c r="B11" s="5">
        <v>2</v>
      </c>
      <c r="C11" s="5">
        <v>75.430000000000007</v>
      </c>
      <c r="D11" s="4">
        <f t="shared" ref="D11:D74" si="1">LN(C11/C10)</f>
        <v>5.450329211798265E-3</v>
      </c>
      <c r="E11" s="5" cm="1">
        <f t="array" ref="E11">EWMA(D$10:D11,E$6)</f>
        <v>1.4886816568360217E-6</v>
      </c>
      <c r="F11" s="6">
        <f t="shared" si="0"/>
        <v>1.220115427669047E-3</v>
      </c>
      <c r="G11" s="8">
        <f>STDEV(D$10:D11)</f>
        <v>3.6654280741510148E-3</v>
      </c>
      <c r="I11" s="2"/>
      <c r="M11" s="2"/>
    </row>
    <row r="12" spans="1:13" x14ac:dyDescent="0.25">
      <c r="B12" s="5">
        <v>3</v>
      </c>
      <c r="C12" s="5">
        <v>75.5</v>
      </c>
      <c r="D12" s="4">
        <f t="shared" si="1"/>
        <v>9.2758238943951995E-4</v>
      </c>
      <c r="E12" s="5" cm="1">
        <f t="array" ref="E12">EWMA(D$10:D12,E$6)</f>
        <v>1.4572680315794173E-6</v>
      </c>
      <c r="F12" s="6">
        <f t="shared" si="0"/>
        <v>1.2071735714384313E-3</v>
      </c>
      <c r="G12" s="8">
        <f>STDEV(D$10:D12)</f>
        <v>2.8214305277251021E-3</v>
      </c>
      <c r="I12" s="2"/>
      <c r="M12" s="2"/>
    </row>
    <row r="13" spans="1:13" x14ac:dyDescent="0.25">
      <c r="B13" s="5">
        <v>4</v>
      </c>
      <c r="C13" s="5">
        <v>75.67</v>
      </c>
      <c r="D13" s="4">
        <f t="shared" si="1"/>
        <v>2.2491244514513263E-3</v>
      </c>
      <c r="E13" s="5" cm="1">
        <f t="array" ref="E13">EWMA(D$10:D13,E$6)</f>
        <v>1.6373325777419012E-6</v>
      </c>
      <c r="F13" s="6">
        <f t="shared" si="0"/>
        <v>1.2795829702453457E-3</v>
      </c>
      <c r="G13" s="8">
        <f>STDEV(D$10:D13)</f>
        <v>2.3037521295965016E-3</v>
      </c>
      <c r="I13" s="2"/>
      <c r="M13" s="2"/>
    </row>
    <row r="14" spans="1:13" x14ac:dyDescent="0.25">
      <c r="B14" s="5">
        <v>5</v>
      </c>
      <c r="C14" s="5">
        <v>75.69</v>
      </c>
      <c r="D14" s="4">
        <f t="shared" si="1"/>
        <v>2.6427061464576521E-4</v>
      </c>
      <c r="E14" s="5" cm="1">
        <f t="array" ref="E14">EWMA(D$10:D14,E$6)</f>
        <v>1.5589578437058549E-6</v>
      </c>
      <c r="F14" s="6">
        <f t="shared" si="0"/>
        <v>1.2485823335711005E-3</v>
      </c>
      <c r="G14" s="8">
        <f>STDEV(D$10:D14)</f>
        <v>2.1790149506666942E-3</v>
      </c>
      <c r="I14" s="2"/>
      <c r="M14" s="2"/>
    </row>
    <row r="15" spans="1:13" x14ac:dyDescent="0.25">
      <c r="B15" s="5">
        <v>6</v>
      </c>
      <c r="C15" s="5">
        <v>76</v>
      </c>
      <c r="D15" s="4">
        <f t="shared" si="1"/>
        <v>4.0872889652549529E-3</v>
      </c>
      <c r="E15" s="5" cm="1">
        <f t="array" ref="E15">EWMA(D$10:D15,E$6)</f>
        <v>2.3163067051079622E-6</v>
      </c>
      <c r="F15" s="6">
        <f t="shared" si="0"/>
        <v>1.5219417548342519E-3</v>
      </c>
      <c r="G15" s="8">
        <f>STDEV(D$10:D15)</f>
        <v>2.1555779730934453E-3</v>
      </c>
      <c r="I15" s="2"/>
      <c r="M15" s="2"/>
    </row>
    <row r="16" spans="1:13" x14ac:dyDescent="0.25">
      <c r="B16" s="5">
        <v>7</v>
      </c>
      <c r="C16" s="5">
        <v>76.28</v>
      </c>
      <c r="D16" s="4">
        <f t="shared" si="1"/>
        <v>3.6774404458871832E-3</v>
      </c>
      <c r="E16" s="5" cm="1">
        <f t="array" ref="E16">EWMA(D$10:D16,E$6)</f>
        <v>2.8766699264881623E-6</v>
      </c>
      <c r="F16" s="6">
        <f t="shared" si="0"/>
        <v>1.6960748587512764E-3</v>
      </c>
      <c r="G16" s="8">
        <f>STDEV(D$10:D16)</f>
        <v>2.0446897355172553E-3</v>
      </c>
      <c r="I16" s="2"/>
      <c r="M16" s="2"/>
    </row>
    <row r="17" spans="2:13" x14ac:dyDescent="0.25">
      <c r="B17" s="5">
        <v>8</v>
      </c>
      <c r="C17" s="5">
        <v>76.239999999999995</v>
      </c>
      <c r="D17" s="4">
        <f t="shared" si="1"/>
        <v>-5.2452138627176513E-4</v>
      </c>
      <c r="E17" s="5" cm="1">
        <f t="array" ref="E17">EWMA(D$10:D17,E$6)</f>
        <v>2.7465924703484745E-6</v>
      </c>
      <c r="F17" s="6">
        <f t="shared" si="0"/>
        <v>1.6572846678674352E-3</v>
      </c>
      <c r="G17" s="8">
        <f>STDEV(D$10:D17)</f>
        <v>2.1599673697529202E-3</v>
      </c>
      <c r="I17" s="2"/>
      <c r="M17" s="2"/>
    </row>
    <row r="18" spans="2:13" x14ac:dyDescent="0.25">
      <c r="B18" s="5">
        <v>9</v>
      </c>
      <c r="C18" s="5">
        <v>76.22</v>
      </c>
      <c r="D18" s="4">
        <f t="shared" si="1"/>
        <v>-2.6236390023246447E-4</v>
      </c>
      <c r="E18" s="5" cm="1">
        <f t="array" ref="E18">EWMA(D$10:D18,E$6)</f>
        <v>2.6127045744672728E-6</v>
      </c>
      <c r="F18" s="6">
        <f t="shared" si="0"/>
        <v>1.6163862701926396E-3</v>
      </c>
      <c r="G18" s="8">
        <f>STDEV(D$10:D18)</f>
        <v>2.1624688796086002E-3</v>
      </c>
      <c r="I18" s="2"/>
      <c r="M18" s="2"/>
    </row>
    <row r="19" spans="2:13" x14ac:dyDescent="0.25">
      <c r="B19" s="5">
        <v>10</v>
      </c>
      <c r="C19" s="5">
        <v>76.36</v>
      </c>
      <c r="D19" s="4">
        <f t="shared" si="1"/>
        <v>1.8351034118326058E-3</v>
      </c>
      <c r="E19" s="5" cm="1">
        <f t="array" ref="E19">EWMA(D$10:D19,E$6)</f>
        <v>2.6504494816670388E-6</v>
      </c>
      <c r="F19" s="6">
        <f t="shared" si="0"/>
        <v>1.6280201109528834E-3</v>
      </c>
      <c r="G19" s="8">
        <f>STDEV(D$10:D19)</f>
        <v>2.0388389654518954E-3</v>
      </c>
      <c r="I19" s="2"/>
      <c r="M19" s="2"/>
    </row>
    <row r="20" spans="2:13" x14ac:dyDescent="0.25">
      <c r="B20" s="5">
        <v>11</v>
      </c>
      <c r="C20" s="5">
        <v>76.64</v>
      </c>
      <c r="D20" s="4">
        <f t="shared" si="1"/>
        <v>3.6601348050583331E-3</v>
      </c>
      <c r="E20" s="5" cm="1">
        <f t="array" ref="E20">EWMA(D$10:D20,E$6)</f>
        <v>3.1877565425109111E-6</v>
      </c>
      <c r="F20" s="6">
        <f>SQRT(E20)</f>
        <v>1.7854289519639002E-3</v>
      </c>
      <c r="G20" s="8">
        <f>STDEV(D$10:D20)</f>
        <v>2.0141295943870005E-3</v>
      </c>
      <c r="I20" s="2"/>
      <c r="L20" s="1"/>
      <c r="M20" s="2"/>
    </row>
    <row r="21" spans="2:13" x14ac:dyDescent="0.25">
      <c r="B21" s="5">
        <v>12</v>
      </c>
      <c r="C21" s="5">
        <v>76.55</v>
      </c>
      <c r="D21" s="4">
        <f t="shared" si="1"/>
        <v>-1.1750115589123902E-3</v>
      </c>
      <c r="E21" s="5" cm="1">
        <f t="array" ref="E21">EWMA(D$10:D21,E$6)</f>
        <v>3.0974012408258034E-6</v>
      </c>
      <c r="F21" s="6">
        <f t="shared" ref="F21:F65" si="2">SQRT(E21)</f>
        <v>1.7599435334196957E-3</v>
      </c>
      <c r="G21" s="8">
        <f>STDEV(D$10:D21)</f>
        <v>2.1237530946776749E-3</v>
      </c>
      <c r="I21" s="2"/>
      <c r="M21" s="2"/>
    </row>
    <row r="22" spans="2:13" x14ac:dyDescent="0.25">
      <c r="B22" s="5">
        <v>13</v>
      </c>
      <c r="C22" s="5">
        <v>76.56</v>
      </c>
      <c r="D22" s="4">
        <f t="shared" si="1"/>
        <v>1.3062504100623217E-4</v>
      </c>
      <c r="E22" s="5" cm="1">
        <f t="array" ref="E22">EWMA(D$10:D22,E$6)</f>
        <v>2.9433842507198271E-6</v>
      </c>
      <c r="F22" s="6">
        <f t="shared" si="2"/>
        <v>1.7156294036649719E-3</v>
      </c>
      <c r="G22" s="8">
        <f>STDEV(D$10:D22)</f>
        <v>2.0796759209831327E-3</v>
      </c>
      <c r="I22" s="2"/>
      <c r="M22" s="2"/>
    </row>
    <row r="23" spans="2:13" x14ac:dyDescent="0.25">
      <c r="B23" s="5">
        <v>14</v>
      </c>
      <c r="C23" s="5">
        <v>76.41</v>
      </c>
      <c r="D23" s="4">
        <f t="shared" si="1"/>
        <v>-1.9611694852235441E-3</v>
      </c>
      <c r="E23" s="5" cm="1">
        <f t="array" ref="E23">EWMA(D$10:D23,E$6)</f>
        <v>2.9885243651994742E-6</v>
      </c>
      <c r="F23" s="6">
        <f t="shared" si="2"/>
        <v>1.7287349031009566E-3</v>
      </c>
      <c r="G23" s="8">
        <f>STDEV(D$10:D23)</f>
        <v>2.2113066407401286E-3</v>
      </c>
      <c r="I23" s="2"/>
      <c r="M23" s="2"/>
    </row>
    <row r="24" spans="2:13" x14ac:dyDescent="0.25">
      <c r="B24" s="5">
        <v>15</v>
      </c>
      <c r="C24" s="5">
        <v>76.62</v>
      </c>
      <c r="D24" s="4">
        <f t="shared" si="1"/>
        <v>2.74456161302776E-3</v>
      </c>
      <c r="E24" s="5" cm="1">
        <f t="array" ref="E24">EWMA(D$10:D24,E$6)</f>
        <v>3.2157291944834299E-6</v>
      </c>
      <c r="F24" s="6">
        <f t="shared" si="2"/>
        <v>1.7932454362087277E-3</v>
      </c>
      <c r="G24" s="8">
        <f>STDEV(D$10:D24)</f>
        <v>2.1619263388105185E-3</v>
      </c>
      <c r="I24" s="2"/>
      <c r="M24" s="2"/>
    </row>
    <row r="25" spans="2:13" x14ac:dyDescent="0.25">
      <c r="B25" s="5">
        <v>16</v>
      </c>
      <c r="C25" s="5">
        <v>77.03</v>
      </c>
      <c r="D25" s="4">
        <f t="shared" si="1"/>
        <v>5.3368170923713855E-3</v>
      </c>
      <c r="E25" s="5" cm="1">
        <f t="array" ref="E25">EWMA(D$10:D25,E$6)</f>
        <v>4.4790238487024681E-6</v>
      </c>
      <c r="F25" s="6">
        <f t="shared" si="2"/>
        <v>2.1163704422199974E-3</v>
      </c>
      <c r="G25" s="8">
        <f>STDEV(D$10:D25)</f>
        <v>2.3062712724290922E-3</v>
      </c>
      <c r="I25" s="2"/>
      <c r="M25" s="2"/>
    </row>
    <row r="26" spans="2:13" x14ac:dyDescent="0.25">
      <c r="B26" s="5">
        <v>17</v>
      </c>
      <c r="C26" s="5">
        <v>77.09</v>
      </c>
      <c r="D26" s="4">
        <f t="shared" si="1"/>
        <v>7.7861410629643179E-4</v>
      </c>
      <c r="E26" s="5" cm="1">
        <f t="array" ref="E26">EWMA(D$10:D26,E$6)</f>
        <v>4.2853846599633094E-6</v>
      </c>
      <c r="F26" s="6">
        <f t="shared" si="2"/>
        <v>2.0701170643138301E-3</v>
      </c>
      <c r="G26" s="8">
        <f>STDEV(D$10:D26)</f>
        <v>2.2434593552436211E-3</v>
      </c>
      <c r="I26" s="2"/>
      <c r="M26" s="2"/>
    </row>
    <row r="27" spans="2:13" x14ac:dyDescent="0.25">
      <c r="B27" s="5">
        <v>18</v>
      </c>
      <c r="C27" s="5">
        <v>77.11</v>
      </c>
      <c r="D27" s="4">
        <f t="shared" si="1"/>
        <v>2.5940337369832186E-4</v>
      </c>
      <c r="E27" s="5" cm="1">
        <f t="array" ref="E27">EWMA(D$10:D27,E$6)</f>
        <v>4.0744797912828368E-6</v>
      </c>
      <c r="F27" s="6">
        <f t="shared" si="2"/>
        <v>2.0185340698840922E-3</v>
      </c>
      <c r="G27" s="8">
        <f>STDEV(D$10:D27)</f>
        <v>2.1998649630816411E-3</v>
      </c>
      <c r="I27" s="2"/>
      <c r="M27" s="2"/>
    </row>
    <row r="28" spans="2:13" x14ac:dyDescent="0.25">
      <c r="B28" s="5">
        <v>19</v>
      </c>
      <c r="C28" s="5">
        <v>77.08</v>
      </c>
      <c r="D28" s="4">
        <f t="shared" si="1"/>
        <v>-3.8913029870365308E-4</v>
      </c>
      <c r="E28" s="5" cm="1">
        <f t="array" ref="E28">EWMA(D$10:D28,E$6)</f>
        <v>3.878326863160364E-6</v>
      </c>
      <c r="F28" s="6">
        <f t="shared" si="2"/>
        <v>1.9693468112956551E-3</v>
      </c>
      <c r="G28" s="8">
        <f>STDEV(D$10:D28)</f>
        <v>2.1832776409627459E-3</v>
      </c>
      <c r="I28" s="2"/>
      <c r="M28" s="2"/>
    </row>
    <row r="29" spans="2:13" x14ac:dyDescent="0.25">
      <c r="B29" s="5">
        <v>20</v>
      </c>
      <c r="C29" s="5">
        <v>77.100000000000009</v>
      </c>
      <c r="D29" s="4">
        <f t="shared" si="1"/>
        <v>2.5943702311833922E-4</v>
      </c>
      <c r="E29" s="5" cm="1">
        <f t="array" ref="E29">EWMA(D$10:D29,E$6)</f>
        <v>3.6877757998987626E-6</v>
      </c>
      <c r="F29" s="6">
        <f t="shared" si="2"/>
        <v>1.9203582478013739E-3</v>
      </c>
      <c r="G29" s="8">
        <f>STDEV(D$10:D29)</f>
        <v>2.1413738959088768E-3</v>
      </c>
      <c r="I29" s="2"/>
      <c r="M29" s="2"/>
    </row>
    <row r="30" spans="2:13" x14ac:dyDescent="0.25">
      <c r="B30" s="5">
        <v>21</v>
      </c>
      <c r="C30" s="5">
        <v>76.63</v>
      </c>
      <c r="D30" s="4">
        <f t="shared" si="1"/>
        <v>-6.1146355869710588E-3</v>
      </c>
      <c r="E30" s="5" cm="1">
        <f t="array" ref="E30">EWMA(D$10:D30,E$6)</f>
        <v>5.3728258405660867E-6</v>
      </c>
      <c r="F30" s="6">
        <f t="shared" si="2"/>
        <v>2.3179356851660243E-3</v>
      </c>
      <c r="G30" s="8">
        <f>STDEV(D11:D30)</f>
        <v>2.7147529076564638E-3</v>
      </c>
      <c r="I30" s="2"/>
      <c r="M30" s="2"/>
    </row>
    <row r="31" spans="2:13" x14ac:dyDescent="0.25">
      <c r="B31" s="5">
        <v>22</v>
      </c>
      <c r="C31" s="5">
        <v>76.7</v>
      </c>
      <c r="D31" s="4">
        <f t="shared" si="1"/>
        <v>9.1306339089754554E-4</v>
      </c>
      <c r="E31" s="5" cm="1">
        <f t="array" ref="E31">EWMA(D$10:D31,E$6)</f>
        <v>5.145868761546879E-6</v>
      </c>
      <c r="F31" s="6">
        <f t="shared" si="2"/>
        <v>2.2684507403835947E-3</v>
      </c>
      <c r="G31" s="8">
        <f t="shared" ref="G31:G94" si="3">STDEV(D12:D31)</f>
        <v>2.5106135321221199E-3</v>
      </c>
      <c r="I31" s="2"/>
      <c r="M31" s="2"/>
    </row>
    <row r="32" spans="2:13" x14ac:dyDescent="0.25">
      <c r="B32" s="5">
        <v>23</v>
      </c>
      <c r="C32" s="5">
        <v>77.040000000000006</v>
      </c>
      <c r="D32" s="4">
        <f t="shared" si="1"/>
        <v>4.423059116659714E-3</v>
      </c>
      <c r="E32" s="5" cm="1">
        <f t="array" ref="E32">EWMA(D$10:D32,E$6)</f>
        <v>5.8667479769791697E-6</v>
      </c>
      <c r="F32" s="6">
        <f t="shared" si="2"/>
        <v>2.4221370681650469E-3</v>
      </c>
      <c r="G32" s="8">
        <f t="shared" si="3"/>
        <v>2.6359486566970261E-3</v>
      </c>
      <c r="I32" s="2"/>
      <c r="M32" s="2"/>
    </row>
    <row r="33" spans="2:13" x14ac:dyDescent="0.25">
      <c r="B33" s="5">
        <v>24</v>
      </c>
      <c r="C33" s="5">
        <v>76.97</v>
      </c>
      <c r="D33" s="4">
        <f t="shared" si="1"/>
        <v>-9.0903194364414354E-4</v>
      </c>
      <c r="E33" s="5" cm="1">
        <f t="array" ref="E33">EWMA(D$10:D33,E$6)</f>
        <v>5.614727551839227E-6</v>
      </c>
      <c r="F33" s="6">
        <f t="shared" si="2"/>
        <v>2.3695416332783071E-3</v>
      </c>
      <c r="G33" s="8">
        <f t="shared" si="3"/>
        <v>2.6523311127588604E-3</v>
      </c>
      <c r="I33" s="2"/>
      <c r="M33" s="2"/>
    </row>
    <row r="34" spans="2:13" x14ac:dyDescent="0.25">
      <c r="B34" s="5">
        <v>25</v>
      </c>
      <c r="C34" s="5">
        <v>76.88</v>
      </c>
      <c r="D34" s="4">
        <f t="shared" si="1"/>
        <v>-1.1699708841890514E-3</v>
      </c>
      <c r="E34" s="5" cm="1">
        <f t="array" ref="E34">EWMA(D$10:D34,E$6)</f>
        <v>5.4024326445745174E-6</v>
      </c>
      <c r="F34" s="6">
        <f t="shared" si="2"/>
        <v>2.3243133705622651E-3</v>
      </c>
      <c r="G34" s="8">
        <f t="shared" si="3"/>
        <v>2.6881961010151848E-3</v>
      </c>
      <c r="I34" s="2"/>
      <c r="M34" s="2"/>
    </row>
    <row r="35" spans="2:13" x14ac:dyDescent="0.25">
      <c r="B35" s="5">
        <v>26</v>
      </c>
      <c r="C35" s="5">
        <v>76.75</v>
      </c>
      <c r="D35" s="4">
        <f t="shared" si="1"/>
        <v>-1.6923781947304943E-3</v>
      </c>
      <c r="E35" s="5" cm="1">
        <f t="array" ref="E35">EWMA(D$10:D35,E$6)</f>
        <v>5.2755181820240971E-6</v>
      </c>
      <c r="F35" s="6">
        <f t="shared" si="2"/>
        <v>2.2968496211167367E-3</v>
      </c>
      <c r="G35" s="8">
        <f t="shared" si="3"/>
        <v>2.6238347549806095E-3</v>
      </c>
      <c r="I35" s="2"/>
      <c r="M35" s="2"/>
    </row>
    <row r="36" spans="2:13" x14ac:dyDescent="0.25">
      <c r="B36" s="5">
        <v>27</v>
      </c>
      <c r="C36" s="5">
        <v>76.930000000000007</v>
      </c>
      <c r="D36" s="4">
        <f t="shared" si="1"/>
        <v>2.3425310035367483E-3</v>
      </c>
      <c r="E36" s="5" cm="1">
        <f t="array" ref="E36">EWMA(D$10:D36,E$6)</f>
        <v>5.2861147378235884E-6</v>
      </c>
      <c r="F36" s="6">
        <f t="shared" si="2"/>
        <v>2.2991552226466982E-3</v>
      </c>
      <c r="G36" s="8">
        <f t="shared" si="3"/>
        <v>2.5545762750208562E-3</v>
      </c>
      <c r="I36" s="2"/>
      <c r="M36" s="2"/>
    </row>
    <row r="37" spans="2:13" x14ac:dyDescent="0.25">
      <c r="B37" s="5">
        <v>28</v>
      </c>
      <c r="C37" s="5">
        <v>77.180000000000007</v>
      </c>
      <c r="D37" s="4">
        <f t="shared" si="1"/>
        <v>3.2444386386294641E-3</v>
      </c>
      <c r="E37" s="5" cm="1">
        <f t="array" ref="E37">EWMA(D$10:D37,E$6)</f>
        <v>5.5481281398539473E-6</v>
      </c>
      <c r="F37" s="6">
        <f t="shared" si="2"/>
        <v>2.355446484183826E-3</v>
      </c>
      <c r="G37" s="8">
        <f t="shared" si="3"/>
        <v>2.6191032138122316E-3</v>
      </c>
      <c r="I37" s="2"/>
      <c r="M37" s="2"/>
    </row>
    <row r="38" spans="2:13" x14ac:dyDescent="0.25">
      <c r="B38" s="5">
        <v>29</v>
      </c>
      <c r="C38" s="5">
        <v>77.05</v>
      </c>
      <c r="D38" s="4">
        <f t="shared" si="1"/>
        <v>-1.685794343348064E-3</v>
      </c>
      <c r="E38" s="5" cm="1">
        <f t="array" ref="E38">EWMA(D$10:D38,E$6)</f>
        <v>5.4128168885392292E-6</v>
      </c>
      <c r="F38" s="6">
        <f t="shared" si="2"/>
        <v>2.3265461286076468E-3</v>
      </c>
      <c r="G38" s="8">
        <f t="shared" si="3"/>
        <v>2.6631044085569928E-3</v>
      </c>
      <c r="I38" s="2"/>
      <c r="M38" s="2"/>
    </row>
    <row r="39" spans="2:13" x14ac:dyDescent="0.25">
      <c r="B39" s="5">
        <v>30</v>
      </c>
      <c r="C39" s="5">
        <v>77.33</v>
      </c>
      <c r="D39" s="4">
        <f t="shared" si="1"/>
        <v>3.6274168548193222E-3</v>
      </c>
      <c r="E39" s="5" cm="1">
        <f t="array" ref="E39">EWMA(D$10:D39,E$6)</f>
        <v>5.8000838364380414E-6</v>
      </c>
      <c r="F39" s="6">
        <f t="shared" si="2"/>
        <v>2.4083363212886282E-3</v>
      </c>
      <c r="G39" s="8">
        <f t="shared" si="3"/>
        <v>2.7380276321602925E-3</v>
      </c>
      <c r="I39" s="2"/>
      <c r="M39" s="2"/>
    </row>
    <row r="40" spans="2:13" x14ac:dyDescent="0.25">
      <c r="B40" s="5">
        <v>31</v>
      </c>
      <c r="C40" s="5">
        <v>77.570000000000007</v>
      </c>
      <c r="D40" s="4">
        <f t="shared" si="1"/>
        <v>3.0987758818362878E-3</v>
      </c>
      <c r="E40" s="5" cm="1">
        <f t="array" ref="E40">EWMA(D$10:D40,E$6)</f>
        <v>5.9902003091416578E-6</v>
      </c>
      <c r="F40" s="6">
        <f t="shared" si="2"/>
        <v>2.4474885718102257E-3</v>
      </c>
      <c r="G40" s="8">
        <f t="shared" si="3"/>
        <v>2.7080560340777462E-3</v>
      </c>
      <c r="I40" s="2"/>
      <c r="M40" s="2"/>
    </row>
    <row r="41" spans="2:13" x14ac:dyDescent="0.25">
      <c r="B41" s="5">
        <v>32</v>
      </c>
      <c r="C41" s="5">
        <v>77.52</v>
      </c>
      <c r="D41" s="4">
        <f t="shared" si="1"/>
        <v>-6.4478692026958878E-4</v>
      </c>
      <c r="E41" s="5" cm="1">
        <f t="array" ref="E41">EWMA(D$10:D41,E$6)</f>
        <v>5.7114776463307315E-6</v>
      </c>
      <c r="F41" s="6">
        <f t="shared" si="2"/>
        <v>2.3898697969409822E-3</v>
      </c>
      <c r="G41" s="8">
        <f t="shared" si="3"/>
        <v>2.6922822096919524E-3</v>
      </c>
      <c r="I41" s="2"/>
      <c r="M41" s="2"/>
    </row>
    <row r="42" spans="2:13" x14ac:dyDescent="0.25">
      <c r="B42" s="5">
        <v>33</v>
      </c>
      <c r="C42" s="5">
        <v>77.48</v>
      </c>
      <c r="D42" s="4">
        <f t="shared" si="1"/>
        <v>-5.1612904371552192E-4</v>
      </c>
      <c r="E42" s="5" cm="1">
        <f t="array" ref="E42">EWMA(D$10:D42,E$6)</f>
        <v>5.4392232237965299E-6</v>
      </c>
      <c r="F42" s="6">
        <f t="shared" si="2"/>
        <v>2.3322142319685234E-3</v>
      </c>
      <c r="G42" s="8">
        <f t="shared" si="3"/>
        <v>2.7024558123047672E-3</v>
      </c>
      <c r="I42" s="2"/>
      <c r="M42" s="2"/>
    </row>
    <row r="43" spans="2:13" x14ac:dyDescent="0.25">
      <c r="B43" s="5">
        <v>34</v>
      </c>
      <c r="C43" s="5">
        <v>77.460000000000008</v>
      </c>
      <c r="D43" s="4">
        <f t="shared" si="1"/>
        <v>-2.5816445218899075E-4</v>
      </c>
      <c r="E43" s="5" cm="1">
        <f t="array" ref="E43">EWMA(D$10:D43,E$6)</f>
        <v>5.1705943660274034E-6</v>
      </c>
      <c r="F43" s="6">
        <f t="shared" si="2"/>
        <v>2.273894097364124E-3</v>
      </c>
      <c r="G43" s="8">
        <f t="shared" si="3"/>
        <v>2.6437939015420847E-3</v>
      </c>
      <c r="I43" s="2"/>
      <c r="M43" s="2"/>
    </row>
    <row r="44" spans="2:13" x14ac:dyDescent="0.25">
      <c r="B44" s="5">
        <v>35</v>
      </c>
      <c r="C44" s="5">
        <v>77.47</v>
      </c>
      <c r="D44" s="4">
        <f t="shared" si="1"/>
        <v>1.2909055720479714E-4</v>
      </c>
      <c r="E44" s="5" cm="1">
        <f t="array" ref="E44">EWMA(D$10:D44,E$6)</f>
        <v>4.9128979292545338E-6</v>
      </c>
      <c r="F44" s="6">
        <f t="shared" si="2"/>
        <v>2.2165057927410283E-3</v>
      </c>
      <c r="G44" s="8">
        <f t="shared" si="3"/>
        <v>2.6007580805975628E-3</v>
      </c>
      <c r="I44" s="2"/>
      <c r="M44" s="2"/>
    </row>
    <row r="45" spans="2:13" x14ac:dyDescent="0.25">
      <c r="B45" s="5">
        <v>36</v>
      </c>
      <c r="C45" s="5">
        <v>77.55</v>
      </c>
      <c r="D45" s="4">
        <f t="shared" si="1"/>
        <v>1.0321249787365715E-3</v>
      </c>
      <c r="E45" s="5" cm="1">
        <f t="array" ref="E45">EWMA(D$10:D45,E$6)</f>
        <v>4.7205170901620797E-6</v>
      </c>
      <c r="F45" s="6">
        <f t="shared" si="2"/>
        <v>2.1726751000004764E-3</v>
      </c>
      <c r="G45" s="8">
        <f t="shared" si="3"/>
        <v>2.3499301379265856E-3</v>
      </c>
      <c r="I45" s="2"/>
      <c r="M45" s="2"/>
    </row>
    <row r="46" spans="2:13" x14ac:dyDescent="0.25">
      <c r="B46" s="5">
        <v>37</v>
      </c>
      <c r="C46" s="5">
        <v>77.62</v>
      </c>
      <c r="D46" s="4">
        <f t="shared" si="1"/>
        <v>9.0223631821248983E-4</v>
      </c>
      <c r="E46" s="5" cm="1">
        <f t="array" ref="E46">EWMA(D$10:D46,E$6)</f>
        <v>4.5251926563960598E-6</v>
      </c>
      <c r="F46" s="6">
        <f t="shared" si="2"/>
        <v>2.1272500220698223E-3</v>
      </c>
      <c r="G46" s="8">
        <f t="shared" si="3"/>
        <v>2.3513167143818505E-3</v>
      </c>
      <c r="I46" s="2"/>
      <c r="M46" s="2"/>
    </row>
    <row r="47" spans="2:13" x14ac:dyDescent="0.25">
      <c r="B47" s="5">
        <v>38</v>
      </c>
      <c r="C47" s="5">
        <v>77.62</v>
      </c>
      <c r="D47" s="4">
        <f t="shared" si="1"/>
        <v>0</v>
      </c>
      <c r="E47" s="5" cm="1">
        <f t="array" ref="E47">EWMA(D$10:D47,E$6)</f>
        <v>4.2989330510945223E-6</v>
      </c>
      <c r="F47" s="6">
        <f t="shared" si="2"/>
        <v>2.0733868551465551E-3</v>
      </c>
      <c r="G47" s="8">
        <f t="shared" si="3"/>
        <v>2.3525148087221882E-3</v>
      </c>
      <c r="I47" s="2"/>
      <c r="M47" s="2"/>
    </row>
    <row r="48" spans="2:13" x14ac:dyDescent="0.25">
      <c r="B48" s="5">
        <v>39</v>
      </c>
      <c r="C48" s="5">
        <v>77.680000000000007</v>
      </c>
      <c r="D48" s="4">
        <f t="shared" si="1"/>
        <v>7.7269804230917759E-4</v>
      </c>
      <c r="E48" s="5" cm="1">
        <f t="array" ref="E48">EWMA(D$10:D48,E$6)</f>
        <v>4.1138395252132698E-6</v>
      </c>
      <c r="F48" s="6">
        <f t="shared" si="2"/>
        <v>2.0282602212766659E-3</v>
      </c>
      <c r="G48" s="8">
        <f t="shared" si="3"/>
        <v>2.3481733694521337E-3</v>
      </c>
      <c r="I48" s="2"/>
      <c r="M48" s="2"/>
    </row>
    <row r="49" spans="2:13" x14ac:dyDescent="0.25">
      <c r="B49" s="5">
        <v>40</v>
      </c>
      <c r="C49" s="5">
        <v>77.680000000000007</v>
      </c>
      <c r="D49" s="4">
        <f t="shared" si="1"/>
        <v>0</v>
      </c>
      <c r="E49" s="5" cm="1">
        <f t="array" ref="E49">EWMA(D$10:D49,E$6)</f>
        <v>3.908147479678159E-6</v>
      </c>
      <c r="F49" s="6">
        <f t="shared" si="2"/>
        <v>1.9769035079330905E-3</v>
      </c>
      <c r="G49" s="8">
        <f t="shared" si="3"/>
        <v>2.3496353502064243E-3</v>
      </c>
      <c r="I49" s="2"/>
      <c r="M49" s="2"/>
    </row>
    <row r="50" spans="2:13" x14ac:dyDescent="0.25">
      <c r="B50" s="5">
        <v>41</v>
      </c>
      <c r="C50" s="5">
        <v>77.87</v>
      </c>
      <c r="D50" s="4">
        <f t="shared" si="1"/>
        <v>2.4429456058251342E-3</v>
      </c>
      <c r="E50" s="5" cm="1">
        <f t="array" ref="E50">EWMA(D$10:D50,E$6)</f>
        <v>4.0111393477121338E-6</v>
      </c>
      <c r="F50" s="6">
        <f t="shared" si="2"/>
        <v>2.0027829007938265E-3</v>
      </c>
      <c r="G50" s="8">
        <f t="shared" si="3"/>
        <v>1.8266885195436062E-3</v>
      </c>
      <c r="I50" s="2"/>
      <c r="M50" s="2"/>
    </row>
    <row r="51" spans="2:13" x14ac:dyDescent="0.25">
      <c r="B51" s="5">
        <v>42</v>
      </c>
      <c r="C51" s="5">
        <v>77.62</v>
      </c>
      <c r="D51" s="4">
        <f t="shared" si="1"/>
        <v>-3.2156436481344227E-3</v>
      </c>
      <c r="E51" s="5" cm="1">
        <f t="array" ref="E51">EWMA(D$10:D51,E$6)</f>
        <v>4.3276006821274526E-6</v>
      </c>
      <c r="F51" s="6">
        <f t="shared" si="2"/>
        <v>2.0802886054890205E-3</v>
      </c>
      <c r="G51" s="8">
        <f t="shared" si="3"/>
        <v>2.0349686175254998E-3</v>
      </c>
      <c r="I51" s="2"/>
      <c r="M51" s="2"/>
    </row>
    <row r="52" spans="2:13" x14ac:dyDescent="0.25">
      <c r="B52" s="5">
        <v>43</v>
      </c>
      <c r="C52" s="5">
        <v>77.8</v>
      </c>
      <c r="D52" s="4">
        <f t="shared" si="1"/>
        <v>2.3163052435855305E-3</v>
      </c>
      <c r="E52" s="5" cm="1">
        <f t="array" ref="E52">EWMA(D$10:D52,E$6)</f>
        <v>4.3794841158573128E-6</v>
      </c>
      <c r="F52" s="6">
        <f t="shared" si="2"/>
        <v>2.0927217005271659E-3</v>
      </c>
      <c r="G52" s="8">
        <f t="shared" si="3"/>
        <v>1.8746608993564166E-3</v>
      </c>
      <c r="I52" s="2"/>
      <c r="M52" s="2"/>
    </row>
    <row r="53" spans="2:13" x14ac:dyDescent="0.25">
      <c r="B53" s="5">
        <v>44</v>
      </c>
      <c r="C53" s="5">
        <v>77.97</v>
      </c>
      <c r="D53" s="4">
        <f t="shared" si="1"/>
        <v>2.1827061371626141E-3</v>
      </c>
      <c r="E53" s="5" cm="1">
        <f t="array" ref="E53">EWMA(D$10:D53,E$6)</f>
        <v>4.3987202364842437E-6</v>
      </c>
      <c r="F53" s="6">
        <f t="shared" si="2"/>
        <v>2.0973126224967617E-3</v>
      </c>
      <c r="G53" s="8">
        <f t="shared" si="3"/>
        <v>1.8806156012761031E-3</v>
      </c>
      <c r="I53" s="2"/>
      <c r="M53" s="2"/>
    </row>
    <row r="54" spans="2:13" x14ac:dyDescent="0.25">
      <c r="B54" s="5">
        <v>45</v>
      </c>
      <c r="C54" s="5">
        <v>78.22</v>
      </c>
      <c r="D54" s="4">
        <f t="shared" si="1"/>
        <v>3.2012320058594414E-3</v>
      </c>
      <c r="E54" s="5" cm="1">
        <f t="array" ref="E54">EWMA(D$10:D54,E$6)</f>
        <v>4.691178606838764E-6</v>
      </c>
      <c r="F54" s="6">
        <f t="shared" si="2"/>
        <v>2.165912880713064E-3</v>
      </c>
      <c r="G54" s="8">
        <f t="shared" si="3"/>
        <v>1.9122698718247858E-3</v>
      </c>
      <c r="I54" s="2"/>
      <c r="M54" s="2"/>
    </row>
    <row r="55" spans="2:13" x14ac:dyDescent="0.25">
      <c r="B55" s="5">
        <v>46</v>
      </c>
      <c r="C55" s="5">
        <v>78.070000000000007</v>
      </c>
      <c r="D55" s="4">
        <f t="shared" si="1"/>
        <v>-1.9195091951683927E-3</v>
      </c>
      <c r="E55" s="5" cm="1">
        <f t="array" ref="E55">EWMA(D$10:D55,E$6)</f>
        <v>4.6408454153074041E-6</v>
      </c>
      <c r="F55" s="6">
        <f t="shared" si="2"/>
        <v>2.1542621510176993E-3</v>
      </c>
      <c r="G55" s="8">
        <f t="shared" si="3"/>
        <v>1.9288530918976099E-3</v>
      </c>
      <c r="I55" s="2"/>
      <c r="M55" s="2"/>
    </row>
    <row r="56" spans="2:13" x14ac:dyDescent="0.25">
      <c r="B56" s="5">
        <v>47</v>
      </c>
      <c r="C56" s="5">
        <v>78.06</v>
      </c>
      <c r="D56" s="4">
        <f t="shared" si="1"/>
        <v>-1.2809837973077693E-4</v>
      </c>
      <c r="E56" s="5" cm="1">
        <f t="array" ref="E56">EWMA(D$10:D56,E$6)</f>
        <v>4.4096235989887766E-6</v>
      </c>
      <c r="F56" s="6">
        <f t="shared" si="2"/>
        <v>2.0999103787992419E-3</v>
      </c>
      <c r="G56" s="8">
        <f t="shared" si="3"/>
        <v>1.9074066469066519E-3</v>
      </c>
      <c r="I56" s="2"/>
      <c r="M56" s="2"/>
    </row>
    <row r="57" spans="2:13" x14ac:dyDescent="0.25">
      <c r="B57" s="5">
        <v>48</v>
      </c>
      <c r="C57" s="5">
        <v>78.31</v>
      </c>
      <c r="D57" s="4">
        <f t="shared" si="1"/>
        <v>3.1975470103774817E-3</v>
      </c>
      <c r="E57" s="5" cm="1">
        <f t="array" ref="E57">EWMA(D$10:D57,E$6)</f>
        <v>4.7003578112492228E-6</v>
      </c>
      <c r="F57" s="6">
        <f t="shared" si="2"/>
        <v>2.1680308603083173E-3</v>
      </c>
      <c r="G57" s="8">
        <f t="shared" si="3"/>
        <v>1.9041781446023018E-3</v>
      </c>
      <c r="I57" s="2"/>
      <c r="M57" s="2"/>
    </row>
    <row r="58" spans="2:13" x14ac:dyDescent="0.25">
      <c r="B58" s="5">
        <v>49</v>
      </c>
      <c r="C58" s="5">
        <v>78.33</v>
      </c>
      <c r="D58" s="4">
        <f t="shared" si="1"/>
        <v>2.5536261630088573E-4</v>
      </c>
      <c r="E58" s="5" cm="1">
        <f t="array" ref="E58">EWMA(D$10:D58,E$6)</f>
        <v>4.4686003737859359E-6</v>
      </c>
      <c r="F58" s="6">
        <f t="shared" si="2"/>
        <v>2.1139064250306674E-3</v>
      </c>
      <c r="G58" s="8">
        <f t="shared" si="3"/>
        <v>1.8224540172056894E-3</v>
      </c>
      <c r="I58" s="2"/>
      <c r="M58" s="2"/>
    </row>
    <row r="59" spans="2:13" x14ac:dyDescent="0.25">
      <c r="B59" s="5">
        <v>50</v>
      </c>
      <c r="C59" s="5">
        <v>78.59</v>
      </c>
      <c r="D59" s="4">
        <f t="shared" si="1"/>
        <v>3.3137934989363707E-3</v>
      </c>
      <c r="E59" s="5" cm="1">
        <f t="array" ref="E59">EWMA(D$10:D59,E$6)</f>
        <v>4.7942318012611507E-6</v>
      </c>
      <c r="F59" s="6">
        <f t="shared" si="2"/>
        <v>2.1895734290635588E-3</v>
      </c>
      <c r="G59" s="8">
        <f t="shared" si="3"/>
        <v>1.7982494391860359E-3</v>
      </c>
      <c r="I59" s="2"/>
      <c r="M59" s="2"/>
    </row>
    <row r="60" spans="2:13" x14ac:dyDescent="0.25">
      <c r="B60" s="5">
        <v>51</v>
      </c>
      <c r="C60" s="5">
        <v>78.95</v>
      </c>
      <c r="D60" s="4">
        <f t="shared" si="1"/>
        <v>4.5702758235676285E-3</v>
      </c>
      <c r="E60" s="5" cm="1">
        <f t="array" ref="E60">EWMA(D$10:D60,E$6)</f>
        <v>5.5988913576221488E-6</v>
      </c>
      <c r="F60" s="6">
        <f t="shared" si="2"/>
        <v>2.3661976581896426E-3</v>
      </c>
      <c r="G60" s="8">
        <f t="shared" si="3"/>
        <v>1.9227003165815672E-3</v>
      </c>
      <c r="I60" s="2"/>
      <c r="M60" s="2"/>
    </row>
    <row r="61" spans="2:13" x14ac:dyDescent="0.25">
      <c r="B61" s="5">
        <v>52</v>
      </c>
      <c r="C61" s="5">
        <v>79.08</v>
      </c>
      <c r="D61" s="4">
        <f t="shared" si="1"/>
        <v>1.6452576007649502E-3</v>
      </c>
      <c r="E61" s="5" cm="1">
        <f t="array" ref="E61">EWMA(D$10:D61,E$6)</f>
        <v>5.4542904300361461E-6</v>
      </c>
      <c r="F61" s="6">
        <f t="shared" si="2"/>
        <v>2.3354422343607956E-3</v>
      </c>
      <c r="G61" s="8">
        <f t="shared" si="3"/>
        <v>1.8949989514968663E-3</v>
      </c>
      <c r="I61" s="2"/>
      <c r="M61" s="2"/>
    </row>
    <row r="62" spans="2:13" x14ac:dyDescent="0.25">
      <c r="B62" s="5">
        <v>53</v>
      </c>
      <c r="C62" s="5">
        <v>79.14</v>
      </c>
      <c r="D62" s="4">
        <f t="shared" si="1"/>
        <v>7.5843765486218004E-4</v>
      </c>
      <c r="E62" s="5" cm="1">
        <f t="array" ref="E62">EWMA(D$10:D62,E$6)</f>
        <v>5.2103372026671146E-6</v>
      </c>
      <c r="F62" s="6">
        <f t="shared" si="2"/>
        <v>2.2826163064928618E-3</v>
      </c>
      <c r="G62" s="8">
        <f t="shared" si="3"/>
        <v>1.8626178714336613E-3</v>
      </c>
      <c r="I62" s="2"/>
      <c r="M62" s="2"/>
    </row>
    <row r="63" spans="2:13" x14ac:dyDescent="0.25">
      <c r="B63" s="5">
        <v>54</v>
      </c>
      <c r="C63" s="5">
        <v>79.14</v>
      </c>
      <c r="D63" s="4">
        <f t="shared" si="1"/>
        <v>0</v>
      </c>
      <c r="E63" s="5" cm="1">
        <f t="array" ref="E63">EWMA(D$10:D63,E$6)</f>
        <v>4.9498201967826394E-6</v>
      </c>
      <c r="F63" s="6">
        <f t="shared" si="2"/>
        <v>2.224819137993612E-3</v>
      </c>
      <c r="G63" s="8">
        <f t="shared" si="3"/>
        <v>1.8538765587579578E-3</v>
      </c>
      <c r="I63" s="2"/>
      <c r="M63" s="2"/>
    </row>
    <row r="64" spans="2:13" x14ac:dyDescent="0.25">
      <c r="B64" s="5">
        <v>55</v>
      </c>
      <c r="C64" s="5">
        <v>79.320000000000007</v>
      </c>
      <c r="D64" s="4">
        <f t="shared" si="1"/>
        <v>2.271867694317023E-3</v>
      </c>
      <c r="E64" s="5" cm="1">
        <f t="array" ref="E64">EWMA(D$10:D64,E$6)</f>
        <v>4.9603984288784653E-6</v>
      </c>
      <c r="F64" s="6">
        <f t="shared" si="2"/>
        <v>2.2271951932595546E-3</v>
      </c>
      <c r="G64" s="8">
        <f t="shared" si="3"/>
        <v>1.8583771285352346E-3</v>
      </c>
      <c r="I64" s="2"/>
      <c r="M64" s="2"/>
    </row>
    <row r="65" spans="2:17" x14ac:dyDescent="0.25">
      <c r="B65" s="5">
        <v>56</v>
      </c>
      <c r="C65" s="5">
        <v>79.38</v>
      </c>
      <c r="D65" s="4">
        <f t="shared" si="1"/>
        <v>7.5614370332387465E-4</v>
      </c>
      <c r="E65" s="5" cm="1">
        <f t="array" ref="E65">EWMA(D$10:D65,E$6)</f>
        <v>4.7409661732555897E-6</v>
      </c>
      <c r="F65" s="6">
        <f t="shared" si="2"/>
        <v>2.1773759834386869E-3</v>
      </c>
      <c r="G65" s="8">
        <f t="shared" si="3"/>
        <v>1.8605561084054502E-3</v>
      </c>
      <c r="I65" s="2"/>
      <c r="M65" s="2"/>
    </row>
    <row r="66" spans="2:17" x14ac:dyDescent="0.25">
      <c r="B66" s="5">
        <v>57</v>
      </c>
      <c r="C66" s="5">
        <v>79.3</v>
      </c>
      <c r="D66" s="4">
        <f t="shared" si="1"/>
        <v>-1.0083187141169845E-3</v>
      </c>
      <c r="E66" s="5" cm="1">
        <f t="array" ref="E66">EWMA(D$10:D66,E$6)</f>
        <v>4.5547530900455491E-6</v>
      </c>
      <c r="F66" s="6">
        <f t="shared" ref="F66:F67" si="4">SQRT(E66)</f>
        <v>2.1341867514455123E-3</v>
      </c>
      <c r="G66" s="8">
        <f t="shared" si="3"/>
        <v>1.9228264681599332E-3</v>
      </c>
      <c r="I66" s="2"/>
      <c r="M66" s="2"/>
      <c r="P66" s="1"/>
    </row>
    <row r="67" spans="2:17" x14ac:dyDescent="0.25">
      <c r="B67" s="5">
        <v>58</v>
      </c>
      <c r="C67" s="5">
        <v>78.92</v>
      </c>
      <c r="D67" s="4">
        <f t="shared" si="1"/>
        <v>-4.8034474863876608E-3</v>
      </c>
      <c r="E67" s="5" cm="1">
        <f t="array" ref="E67">EWMA(D$10:D67,E$6)</f>
        <v>5.4806711429072896E-6</v>
      </c>
      <c r="F67" s="6">
        <f t="shared" si="4"/>
        <v>2.3410833267757235E-3</v>
      </c>
      <c r="G67" s="8">
        <f t="shared" si="3"/>
        <v>2.3221252365789964E-3</v>
      </c>
      <c r="I67" s="2"/>
      <c r="M67" s="2"/>
      <c r="P67" s="1"/>
    </row>
    <row r="68" spans="2:17" x14ac:dyDescent="0.25">
      <c r="B68" s="5">
        <v>59</v>
      </c>
      <c r="C68" s="5">
        <v>78.930000000000007</v>
      </c>
      <c r="D68" s="4">
        <f t="shared" si="1"/>
        <v>1.2670256589650169E-4</v>
      </c>
      <c r="E68" s="5" cm="1">
        <f t="array" ref="E68">EWMA(D$10:D68,E$6)</f>
        <v>5.2074401715104801E-6</v>
      </c>
      <c r="F68" s="6">
        <f>SQRT(E68)</f>
        <v>2.2819816325970899E-3</v>
      </c>
      <c r="G68" s="8">
        <f t="shared" si="3"/>
        <v>2.3274578654555581E-3</v>
      </c>
      <c r="L68" s="1"/>
      <c r="Q68" s="1"/>
    </row>
    <row r="69" spans="2:17" x14ac:dyDescent="0.25">
      <c r="B69" s="5">
        <v>60</v>
      </c>
      <c r="C69" s="5">
        <v>78.790000000000006</v>
      </c>
      <c r="D69" s="4">
        <f t="shared" si="1"/>
        <v>-1.7752984627143716E-3</v>
      </c>
      <c r="E69" s="5" cm="1">
        <f t="array" ref="E69">EWMA(D$10:D69,E$6)</f>
        <v>5.1046523538086919E-6</v>
      </c>
      <c r="F69" s="6">
        <f t="shared" ref="F69:F102" si="5">SQRT(E69)</f>
        <v>2.2593477717714667E-3</v>
      </c>
      <c r="G69" s="8">
        <f t="shared" si="3"/>
        <v>2.3924470065095705E-3</v>
      </c>
      <c r="L69" s="1"/>
    </row>
    <row r="70" spans="2:17" x14ac:dyDescent="0.25">
      <c r="B70" s="5">
        <v>61</v>
      </c>
      <c r="C70" s="5">
        <v>78.97</v>
      </c>
      <c r="D70" s="4">
        <f t="shared" si="1"/>
        <v>2.2819482518927309E-3</v>
      </c>
      <c r="E70" s="5" cm="1">
        <f t="array" ref="E70">EWMA(D$10:D70,E$6)</f>
        <v>5.1097840922734172E-6</v>
      </c>
      <c r="F70" s="6">
        <f t="shared" si="5"/>
        <v>2.2604831546095224E-3</v>
      </c>
      <c r="G70" s="8">
        <f t="shared" si="3"/>
        <v>2.3865708358523953E-3</v>
      </c>
    </row>
    <row r="71" spans="2:17" x14ac:dyDescent="0.25">
      <c r="B71" s="5">
        <v>62</v>
      </c>
      <c r="C71" s="5">
        <v>79.19</v>
      </c>
      <c r="D71" s="4">
        <f t="shared" si="1"/>
        <v>2.7819947128313875E-3</v>
      </c>
      <c r="E71" s="5" cm="1">
        <f t="array" ref="E71">EWMA(D$10:D71,E$6)</f>
        <v>5.2412696596032537E-6</v>
      </c>
      <c r="F71" s="6">
        <f t="shared" si="5"/>
        <v>2.289381938341275E-3</v>
      </c>
      <c r="G71" s="8">
        <f t="shared" si="3"/>
        <v>2.2408432192547044E-3</v>
      </c>
    </row>
    <row r="72" spans="2:17" x14ac:dyDescent="0.25">
      <c r="B72" s="5">
        <v>63</v>
      </c>
      <c r="C72" s="5">
        <v>79.19</v>
      </c>
      <c r="D72" s="4">
        <f t="shared" si="1"/>
        <v>0</v>
      </c>
      <c r="E72" s="5" cm="1">
        <f t="array" ref="E72">EWMA(D$10:D72,E$6)</f>
        <v>4.9792061672798704E-6</v>
      </c>
      <c r="F72" s="6">
        <f t="shared" si="5"/>
        <v>2.231413490879687E-3</v>
      </c>
      <c r="G72" s="8">
        <f t="shared" si="3"/>
        <v>2.2291257841240628E-3</v>
      </c>
    </row>
    <row r="73" spans="2:17" x14ac:dyDescent="0.25">
      <c r="B73" s="5">
        <v>64</v>
      </c>
      <c r="C73" s="5">
        <v>79.14</v>
      </c>
      <c r="D73" s="4">
        <f t="shared" si="1"/>
        <v>-6.3159226504289328E-4</v>
      </c>
      <c r="E73" s="5" cm="1">
        <f t="array" ref="E73">EWMA(D$10:D73,E$6)</f>
        <v>4.7501911405942177E-6</v>
      </c>
      <c r="F73" s="6">
        <f t="shared" si="5"/>
        <v>2.1794933219889015E-3</v>
      </c>
      <c r="G73" s="8">
        <f t="shared" si="3"/>
        <v>2.2317499628346513E-3</v>
      </c>
    </row>
    <row r="74" spans="2:17" x14ac:dyDescent="0.25">
      <c r="B74" s="5">
        <v>65</v>
      </c>
      <c r="C74" s="5">
        <v>78.98</v>
      </c>
      <c r="D74" s="4">
        <f t="shared" si="1"/>
        <v>-2.0237800987747976E-3</v>
      </c>
      <c r="E74" s="5" cm="1">
        <f t="array" ref="E74">EWMA(D$10:D74,E$6)</f>
        <v>4.7174658857479512E-6</v>
      </c>
      <c r="F74" s="6">
        <f t="shared" si="5"/>
        <v>2.1719728096244555E-3</v>
      </c>
      <c r="G74" s="8">
        <f t="shared" si="3"/>
        <v>2.234873139694245E-3</v>
      </c>
    </row>
    <row r="75" spans="2:17" x14ac:dyDescent="0.25">
      <c r="B75" s="5">
        <v>66</v>
      </c>
      <c r="C75" s="5">
        <v>79.239999999999995</v>
      </c>
      <c r="D75" s="4">
        <f t="shared" ref="D75:D102" si="6">LN(C75/C74)</f>
        <v>3.2865659718467927E-3</v>
      </c>
      <c r="E75" s="5" cm="1">
        <f t="array" ref="E75">EWMA(D$10:D75,E$6)</f>
        <v>5.0216685401616168E-6</v>
      </c>
      <c r="F75" s="6">
        <f t="shared" si="5"/>
        <v>2.2409079722651745E-3</v>
      </c>
      <c r="G75" s="8">
        <f t="shared" si="3"/>
        <v>2.2434282649023704E-3</v>
      </c>
    </row>
    <row r="76" spans="2:17" x14ac:dyDescent="0.25">
      <c r="B76" s="5">
        <v>67</v>
      </c>
      <c r="C76" s="5">
        <v>79.7</v>
      </c>
      <c r="D76" s="4">
        <f t="shared" si="6"/>
        <v>5.7883639658193736E-3</v>
      </c>
      <c r="E76" s="5" cm="1">
        <f t="array" ref="E76">EWMA(D$10:D76,E$6)</f>
        <v>6.4458433939110216E-6</v>
      </c>
      <c r="F76" s="6">
        <f t="shared" si="5"/>
        <v>2.5388665569326444E-3</v>
      </c>
      <c r="G76" s="8">
        <f t="shared" si="3"/>
        <v>2.498041415428566E-3</v>
      </c>
    </row>
    <row r="77" spans="2:17" x14ac:dyDescent="0.25">
      <c r="B77" s="5">
        <v>68</v>
      </c>
      <c r="C77" s="5">
        <v>79.94</v>
      </c>
      <c r="D77" s="4">
        <f t="shared" si="6"/>
        <v>3.006767487008088E-3</v>
      </c>
      <c r="E77" s="5" cm="1">
        <f t="array" ref="E77">EWMA(D$10:D77,E$6)</f>
        <v>6.5755836651422428E-6</v>
      </c>
      <c r="F77" s="6">
        <f t="shared" si="5"/>
        <v>2.5642900898966642E-3</v>
      </c>
      <c r="G77" s="8">
        <f t="shared" si="3"/>
        <v>2.4897177685629414E-3</v>
      </c>
    </row>
    <row r="78" spans="2:17" x14ac:dyDescent="0.25">
      <c r="B78" s="5">
        <v>69</v>
      </c>
      <c r="C78" s="5">
        <v>80.02</v>
      </c>
      <c r="D78" s="4">
        <f t="shared" si="6"/>
        <v>1.0002501459114624E-3</v>
      </c>
      <c r="E78" s="5" cm="1">
        <f t="array" ref="E78">EWMA(D$10:D78,E$6)</f>
        <v>6.2968293650170204E-6</v>
      </c>
      <c r="F78" s="6">
        <f t="shared" si="5"/>
        <v>2.5093483945074309E-3</v>
      </c>
      <c r="G78" s="8">
        <f t="shared" si="3"/>
        <v>2.4830816812121026E-3</v>
      </c>
    </row>
    <row r="79" spans="2:17" x14ac:dyDescent="0.25">
      <c r="B79" s="5">
        <v>70</v>
      </c>
      <c r="C79" s="5">
        <v>79.739999999999995</v>
      </c>
      <c r="D79" s="4">
        <f t="shared" si="6"/>
        <v>-3.5052614758800124E-3</v>
      </c>
      <c r="E79" s="5" cm="1">
        <f t="array" ref="E79">EWMA(D$10:D79,E$6)</f>
        <v>6.5963308384445196E-6</v>
      </c>
      <c r="F79" s="6">
        <f t="shared" si="5"/>
        <v>2.5683323068568286E-3</v>
      </c>
      <c r="G79" s="8">
        <f t="shared" si="3"/>
        <v>2.622621846176407E-3</v>
      </c>
    </row>
    <row r="80" spans="2:17" x14ac:dyDescent="0.25">
      <c r="B80" s="5">
        <v>71</v>
      </c>
      <c r="C80" s="5">
        <v>79.75</v>
      </c>
      <c r="D80" s="4">
        <f t="shared" si="6"/>
        <v>1.253997117450253E-4</v>
      </c>
      <c r="E80" s="5" cm="1">
        <f t="array" ref="E80">EWMA(D$10:D80,E$6)</f>
        <v>6.2673004818519784E-6</v>
      </c>
      <c r="F80" s="6">
        <f t="shared" si="5"/>
        <v>2.5034577052253106E-3</v>
      </c>
      <c r="G80" s="8">
        <f t="shared" si="3"/>
        <v>2.4632267701618794E-3</v>
      </c>
    </row>
    <row r="81" spans="2:7" x14ac:dyDescent="0.25">
      <c r="B81" s="5">
        <v>72</v>
      </c>
      <c r="C81" s="5">
        <v>79.7</v>
      </c>
      <c r="D81" s="4">
        <f t="shared" si="6"/>
        <v>-6.2715586878457814E-4</v>
      </c>
      <c r="E81" s="5" cm="1">
        <f t="array" ref="E81">EWMA(D$10:D81,E$6)</f>
        <v>5.9736016329650643E-6</v>
      </c>
      <c r="F81" s="6">
        <f t="shared" si="5"/>
        <v>2.4440952585701452E-3</v>
      </c>
      <c r="G81" s="8">
        <f t="shared" si="3"/>
        <v>2.4602261614539785E-3</v>
      </c>
    </row>
    <row r="82" spans="2:7" x14ac:dyDescent="0.25">
      <c r="B82" s="5">
        <v>73</v>
      </c>
      <c r="C82" s="5">
        <v>79.850000000000009</v>
      </c>
      <c r="D82" s="4">
        <f t="shared" si="6"/>
        <v>1.880288864852128E-3</v>
      </c>
      <c r="E82" s="5" cm="1">
        <f t="array" ref="E82">EWMA(D$10:D82,E$6)</f>
        <v>5.8516957481824505E-6</v>
      </c>
      <c r="F82" s="6">
        <f t="shared" si="5"/>
        <v>2.4190278518823323E-3</v>
      </c>
      <c r="G82" s="8">
        <f t="shared" si="3"/>
        <v>2.4817518648889551E-3</v>
      </c>
    </row>
    <row r="83" spans="2:7" x14ac:dyDescent="0.25">
      <c r="B83" s="5">
        <v>74</v>
      </c>
      <c r="C83" s="5">
        <v>79.77</v>
      </c>
      <c r="D83" s="4">
        <f t="shared" si="6"/>
        <v>-1.0023807379834517E-3</v>
      </c>
      <c r="E83" s="5" cm="1">
        <f t="array" ref="E83">EWMA(D$10:D83,E$6)</f>
        <v>5.6093492750153295E-6</v>
      </c>
      <c r="F83" s="6">
        <f t="shared" si="5"/>
        <v>2.3684064843297759E-3</v>
      </c>
      <c r="G83" s="8">
        <f t="shared" si="3"/>
        <v>2.5012896995172808E-3</v>
      </c>
    </row>
    <row r="84" spans="2:7" x14ac:dyDescent="0.25">
      <c r="B84" s="5">
        <v>75</v>
      </c>
      <c r="C84" s="5">
        <v>79.989999999999995</v>
      </c>
      <c r="D84" s="4">
        <f t="shared" si="6"/>
        <v>2.7541329376924591E-3</v>
      </c>
      <c r="E84" s="5" cm="1">
        <f t="array" ref="E84">EWMA(D$10:D84,E$6)</f>
        <v>5.7081443269046961E-6</v>
      </c>
      <c r="F84" s="6">
        <f t="shared" si="5"/>
        <v>2.389172310007107E-3</v>
      </c>
      <c r="G84" s="8">
        <f t="shared" si="3"/>
        <v>2.5225550808248183E-3</v>
      </c>
    </row>
    <row r="85" spans="2:7" x14ac:dyDescent="0.25">
      <c r="B85" s="5">
        <v>76</v>
      </c>
      <c r="C85" s="5">
        <v>80.09</v>
      </c>
      <c r="D85" s="4">
        <f t="shared" si="6"/>
        <v>1.2493754748604253E-3</v>
      </c>
      <c r="E85" s="5" cm="1">
        <f t="array" ref="E85">EWMA(D$10:D85,E$6)</f>
        <v>5.5007839742902964E-6</v>
      </c>
      <c r="F85" s="6">
        <f t="shared" si="5"/>
        <v>2.3453750178362301E-3</v>
      </c>
      <c r="G85" s="8">
        <f t="shared" si="3"/>
        <v>2.5284127254428961E-3</v>
      </c>
    </row>
    <row r="86" spans="2:7" x14ac:dyDescent="0.25">
      <c r="B86" s="5">
        <v>77</v>
      </c>
      <c r="C86" s="5">
        <v>80.2</v>
      </c>
      <c r="D86" s="4">
        <f t="shared" si="6"/>
        <v>1.3725125368779932E-3</v>
      </c>
      <c r="E86" s="5" cm="1">
        <f t="array" ref="E86">EWMA(D$10:D86,E$6)</f>
        <v>5.3199342972300168E-6</v>
      </c>
      <c r="F86" s="6">
        <f t="shared" si="5"/>
        <v>2.3064982760084641E-3</v>
      </c>
      <c r="G86" s="8">
        <f t="shared" si="3"/>
        <v>2.5123713811372708E-3</v>
      </c>
    </row>
    <row r="87" spans="2:7" x14ac:dyDescent="0.25">
      <c r="B87" s="5">
        <v>78</v>
      </c>
      <c r="C87" s="5">
        <v>80.55</v>
      </c>
      <c r="D87" s="4">
        <f t="shared" si="6"/>
        <v>4.3545947505144967E-3</v>
      </c>
      <c r="E87" s="5" cm="1">
        <f t="array" ref="E87">EWMA(D$10:D87,E$6)</f>
        <v>6.0020625353741919E-6</v>
      </c>
      <c r="F87" s="6">
        <f t="shared" si="5"/>
        <v>2.4499107198782148E-3</v>
      </c>
      <c r="G87" s="8">
        <f t="shared" si="3"/>
        <v>2.3088945362108146E-3</v>
      </c>
    </row>
    <row r="88" spans="2:7" x14ac:dyDescent="0.25">
      <c r="B88" s="5">
        <v>79</v>
      </c>
      <c r="C88" s="5">
        <v>80.5</v>
      </c>
      <c r="D88" s="4">
        <f t="shared" si="6"/>
        <v>-6.2092519846564283E-4</v>
      </c>
      <c r="E88" s="5" cm="1">
        <f t="array" ref="E88">EWMA(D$10:D88,E$6)</f>
        <v>5.7212368249626167E-6</v>
      </c>
      <c r="F88" s="6">
        <f t="shared" si="5"/>
        <v>2.3919107058923868E-3</v>
      </c>
      <c r="G88" s="8">
        <f t="shared" si="3"/>
        <v>2.3301100073184582E-3</v>
      </c>
    </row>
    <row r="89" spans="2:7" x14ac:dyDescent="0.25">
      <c r="B89" s="5">
        <v>80</v>
      </c>
      <c r="C89" s="5">
        <v>80.540000000000006</v>
      </c>
      <c r="D89" s="4">
        <f t="shared" si="6"/>
        <v>4.9677099879047578E-4</v>
      </c>
      <c r="E89" s="5" cm="1">
        <f t="array" ref="E89">EWMA(D$10:D89,E$6)</f>
        <v>5.4475138809816082E-6</v>
      </c>
      <c r="F89" s="6">
        <f t="shared" si="5"/>
        <v>2.3339909770565969E-3</v>
      </c>
      <c r="G89" s="8">
        <f t="shared" si="3"/>
        <v>2.2421887727413943E-3</v>
      </c>
    </row>
    <row r="90" spans="2:7" x14ac:dyDescent="0.25">
      <c r="B90" s="5">
        <v>81</v>
      </c>
      <c r="C90" s="5">
        <v>80.489999999999995</v>
      </c>
      <c r="D90" s="4">
        <f t="shared" si="6"/>
        <v>-6.2100231766577091E-4</v>
      </c>
      <c r="E90" s="5" cm="1">
        <f t="array" ref="E90">EWMA(D$10:D90,E$6)</f>
        <v>5.1944203161135433E-6</v>
      </c>
      <c r="F90" s="6">
        <f t="shared" si="5"/>
        <v>2.2791270952085018E-3</v>
      </c>
      <c r="G90" s="8">
        <f t="shared" si="3"/>
        <v>2.2554607818903428E-3</v>
      </c>
    </row>
    <row r="91" spans="2:7" x14ac:dyDescent="0.25">
      <c r="B91" s="5">
        <v>82</v>
      </c>
      <c r="C91" s="5">
        <v>80.38</v>
      </c>
      <c r="D91" s="4">
        <f t="shared" si="6"/>
        <v>-1.3675640845874258E-3</v>
      </c>
      <c r="E91" s="5" cm="1">
        <f t="array" ref="E91">EWMA(D$10:D91,E$6)</f>
        <v>5.0282108545497695E-6</v>
      </c>
      <c r="F91" s="6">
        <f t="shared" si="5"/>
        <v>2.2423672434616435E-3</v>
      </c>
      <c r="G91" s="8">
        <f t="shared" si="3"/>
        <v>2.2691971563118534E-3</v>
      </c>
    </row>
    <row r="92" spans="2:7" x14ac:dyDescent="0.25">
      <c r="B92" s="5">
        <v>83</v>
      </c>
      <c r="C92" s="5">
        <v>79.75</v>
      </c>
      <c r="D92" s="4">
        <f t="shared" si="6"/>
        <v>-7.8686473561010908E-3</v>
      </c>
      <c r="E92" s="5" cm="1">
        <f t="array" ref="E92">EWMA(D$10:D92,E$6)</f>
        <v>7.8725816165404333E-6</v>
      </c>
      <c r="F92" s="6">
        <f t="shared" si="5"/>
        <v>2.8058121135493791E-3</v>
      </c>
      <c r="G92" s="8">
        <f t="shared" si="3"/>
        <v>2.9770354473026245E-3</v>
      </c>
    </row>
    <row r="93" spans="2:7" x14ac:dyDescent="0.25">
      <c r="B93" s="5">
        <v>84</v>
      </c>
      <c r="C93" s="5">
        <v>79.350000000000009</v>
      </c>
      <c r="D93" s="4">
        <f t="shared" si="6"/>
        <v>-5.0282946925357206E-3</v>
      </c>
      <c r="E93" s="5" cm="1">
        <f t="array" ref="E93">EWMA(D$10:D93,E$6)</f>
        <v>8.7431399690175715E-6</v>
      </c>
      <c r="F93" s="6">
        <f t="shared" si="5"/>
        <v>2.956880107312025E-3</v>
      </c>
      <c r="G93" s="8">
        <f t="shared" si="3"/>
        <v>3.2069708642536348E-3</v>
      </c>
    </row>
    <row r="94" spans="2:7" x14ac:dyDescent="0.25">
      <c r="B94" s="5">
        <v>85</v>
      </c>
      <c r="C94" s="5">
        <v>79.900000000000006</v>
      </c>
      <c r="D94" s="4">
        <f t="shared" si="6"/>
        <v>6.9074057998108956E-3</v>
      </c>
      <c r="E94" s="5" cm="1">
        <f t="array" ref="E94">EWMA(D$10:D94,E$6)</f>
        <v>1.0691596315125923E-5</v>
      </c>
      <c r="F94" s="6">
        <f t="shared" si="5"/>
        <v>3.2698006537288972E-3</v>
      </c>
      <c r="G94" s="8">
        <f t="shared" si="3"/>
        <v>3.4993989797920274E-3</v>
      </c>
    </row>
    <row r="95" spans="2:7" x14ac:dyDescent="0.25">
      <c r="B95" s="5">
        <v>86</v>
      </c>
      <c r="C95" s="5">
        <v>79.7</v>
      </c>
      <c r="D95" s="4">
        <f t="shared" si="6"/>
        <v>-2.5062669760596117E-3</v>
      </c>
      <c r="E95" s="5" cm="1">
        <f t="array" ref="E95">EWMA(D$10:D95,E$6)</f>
        <v>1.0471084969567584E-5</v>
      </c>
      <c r="F95" s="6">
        <f t="shared" si="5"/>
        <v>3.2359055872456452E-3</v>
      </c>
      <c r="G95" s="8">
        <f t="shared" ref="G95:G102" si="7">STDEV(D76:D95)</f>
        <v>3.5032381837627308E-3</v>
      </c>
    </row>
    <row r="96" spans="2:7" x14ac:dyDescent="0.25">
      <c r="B96" s="5">
        <v>87</v>
      </c>
      <c r="C96" s="5">
        <v>79.460000000000008</v>
      </c>
      <c r="D96" s="4">
        <f t="shared" si="6"/>
        <v>-3.015835409716451E-3</v>
      </c>
      <c r="E96" s="5" cm="1">
        <f t="array" ref="E96">EWMA(D$10:D96,E$6)</f>
        <v>1.0402293775526109E-5</v>
      </c>
      <c r="F96" s="6">
        <f t="shared" si="5"/>
        <v>3.2252587145105288E-3</v>
      </c>
      <c r="G96" s="8">
        <f t="shared" si="7"/>
        <v>3.324482375206458E-3</v>
      </c>
    </row>
    <row r="97" spans="2:7" x14ac:dyDescent="0.25">
      <c r="B97" s="5">
        <v>88</v>
      </c>
      <c r="C97" s="5">
        <v>80.17</v>
      </c>
      <c r="D97" s="4">
        <f t="shared" si="6"/>
        <v>8.8956296684071946E-3</v>
      </c>
      <c r="E97" s="5" cm="1">
        <f t="array" ref="E97">EWMA(D$10:D97,E$6)</f>
        <v>1.3838790935093853E-5</v>
      </c>
      <c r="F97" s="6">
        <f t="shared" si="5"/>
        <v>3.7200525446684021E-3</v>
      </c>
      <c r="G97" s="8">
        <f t="shared" si="7"/>
        <v>3.8397169830875696E-3</v>
      </c>
    </row>
    <row r="98" spans="2:7" x14ac:dyDescent="0.25">
      <c r="B98" s="5">
        <v>89</v>
      </c>
      <c r="C98" s="5">
        <v>80.47</v>
      </c>
      <c r="D98" s="4">
        <f t="shared" si="6"/>
        <v>3.7350641031812437E-3</v>
      </c>
      <c r="E98" s="5" cm="1">
        <f t="array" ref="E98">EWMA(D$10:D98,E$6)</f>
        <v>1.3844386621534102E-5</v>
      </c>
      <c r="F98" s="6">
        <f t="shared" si="5"/>
        <v>3.720804566425668E-3</v>
      </c>
      <c r="G98" s="8">
        <f t="shared" si="7"/>
        <v>3.9196913644206572E-3</v>
      </c>
    </row>
    <row r="99" spans="2:7" x14ac:dyDescent="0.25">
      <c r="B99" s="5">
        <v>90</v>
      </c>
      <c r="C99" s="5">
        <v>80.88</v>
      </c>
      <c r="D99" s="4">
        <f t="shared" si="6"/>
        <v>5.0821305541744344E-3</v>
      </c>
      <c r="E99" s="5" cm="1">
        <f t="array" ref="E99">EWMA(D$10:D99,E$6)</f>
        <v>1.4443569992930727E-5</v>
      </c>
      <c r="F99" s="6">
        <f t="shared" si="5"/>
        <v>3.8004697068823911E-3</v>
      </c>
      <c r="G99" s="8">
        <f t="shared" si="7"/>
        <v>3.9533728613565175E-3</v>
      </c>
    </row>
    <row r="100" spans="2:7" x14ac:dyDescent="0.25">
      <c r="B100" s="5">
        <v>91</v>
      </c>
      <c r="C100" s="5">
        <v>81.06</v>
      </c>
      <c r="D100" s="4">
        <f t="shared" si="6"/>
        <v>2.2230464879466733E-3</v>
      </c>
      <c r="E100" s="5" cm="1">
        <f t="array" ref="E100">EWMA(D$10:D100,E$6)</f>
        <v>1.396848822781023E-5</v>
      </c>
      <c r="F100" s="6">
        <f t="shared" si="5"/>
        <v>3.7374440768806467E-3</v>
      </c>
      <c r="G100" s="8">
        <f t="shared" si="7"/>
        <v>3.9648623040658085E-3</v>
      </c>
    </row>
    <row r="101" spans="2:7" x14ac:dyDescent="0.25">
      <c r="B101" s="5">
        <v>92</v>
      </c>
      <c r="C101" s="5">
        <v>81.150000000000006</v>
      </c>
      <c r="D101" s="4">
        <f t="shared" si="6"/>
        <v>1.1096727604377971E-3</v>
      </c>
      <c r="E101" s="5" cm="1">
        <f t="array" ref="E101">EWMA(D$10:D101,E$6)</f>
        <v>1.333163218999317E-5</v>
      </c>
      <c r="F101" s="6">
        <f t="shared" si="5"/>
        <v>3.6512507706254809E-3</v>
      </c>
      <c r="G101" s="8">
        <f t="shared" si="7"/>
        <v>3.950615909463784E-3</v>
      </c>
    </row>
    <row r="102" spans="2:7" x14ac:dyDescent="0.25">
      <c r="B102" s="5">
        <v>93</v>
      </c>
      <c r="C102" s="5">
        <v>81</v>
      </c>
      <c r="D102" s="4">
        <f t="shared" si="6"/>
        <v>-1.8501392881614773E-3</v>
      </c>
      <c r="E102" s="5" cm="1">
        <f t="array" ref="E102">EWMA(D$10:D102,E$6)</f>
        <v>1.2836201369598524E-5</v>
      </c>
      <c r="F102" s="6">
        <f t="shared" si="5"/>
        <v>3.5827644870404926E-3</v>
      </c>
      <c r="G102" s="8">
        <f t="shared" si="7"/>
        <v>3.9898392842638887E-3</v>
      </c>
    </row>
  </sheetData>
  <conditionalFormatting sqref="A1:XFD2">
    <cfRule type="expression" dxfId="1" priority="2">
      <formula>AND(ISBLANK(A1)=FALSE,_xlfn.ISFORMULA(A1)=FALSE,ISTEXT(A1)=FALSE)</formula>
    </cfRule>
  </conditionalFormatting>
  <conditionalFormatting sqref="A1:XFD1048576">
    <cfRule type="expression" dxfId="0" priority="1">
      <formula>AND(ISBLANK(A1)=FALSE,_xlfn.ISFORMULA(A1)=FALSE,ISTEXT(A1)=FALSE)</formula>
    </cfRule>
  </conditionalFormatting>
  <hyperlinks>
    <hyperlink ref="B1" r:id="rId1" xr:uid="{A2CFE48A-567A-46F6-9436-DDAE5563FAA9}"/>
  </hyperlinks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Finam</dc:creator>
  <cp:lastModifiedBy>Finam</cp:lastModifiedBy>
  <dcterms:created xsi:type="dcterms:W3CDTF">2022-06-12T00:08:52Z</dcterms:created>
  <dcterms:modified xsi:type="dcterms:W3CDTF">2022-06-12T04:35:31Z</dcterms:modified>
</cp:coreProperties>
</file>